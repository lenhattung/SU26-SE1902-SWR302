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8"/>
  </bookViews>
  <sheets>
    <sheet name="📋 Hướng Dẫn" sheetId="1" state="visible" r:id="rId3"/>
    <sheet name="📝 Tuần 1 – Khởi Động" sheetId="2" state="visible" r:id="rId4"/>
    <sheet name="📚 Tuần 2 – Lit Review" sheetId="3" state="visible" r:id="rId5"/>
    <sheet name="💡 Tuần 3 – Hypothesis" sheetId="4" state="visible" r:id="rId6"/>
    <sheet name="🧪 Tuần 4-5 – Experiment" sheetId="5" state="visible" r:id="rId7"/>
    <sheet name="📊 Tuần 6 – Data Analysis" sheetId="6" state="visible" r:id="rId8"/>
    <sheet name="📝 Tuần 7-8 – Paper Draft" sheetId="7" state="visible" r:id="rId9"/>
    <sheet name="📈 Progress Dashboard" sheetId="8" state="visible" r:id="rId10"/>
    <sheet name="🔬 RQ &amp; Paper Gợi Ý"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<sst xmlns="http://schemas.openxmlformats.org/spreadsheetml/2006/main" count="832" uniqueCount="551">
  <si>
    <t xml:space="preserve">SWR303 – AI-Augmented Software Requirements  |  RBL Student Research Tracker  |  Summer 2026</t>
  </si>
  <si>
    <t xml:space="preserve">Môn SWR303 triển khai theo hướng RBL (Research-Based Learning). Mỗi team điền đầy đủ từng sheet theo đúng tuần. File này là hồ sơ nghiên cứu chính thức của team.</t>
  </si>
  <si>
    <t xml:space="preserve">#</t>
  </si>
  <si>
    <t xml:space="preserve">Sheet</t>
  </si>
  <si>
    <t xml:space="preserve">Nội dung chính</t>
  </si>
  <si>
    <t xml:space="preserve">Phase</t>
  </si>
  <si>
    <t xml:space="preserve">Tuần</t>
  </si>
  <si>
    <t xml:space="preserve">📝 Tuần 1</t>
  </si>
  <si>
    <t xml:space="preserve">Chọn topic, xác định Research Theme, phát biểu RQ theo PICO, phân vai, lập lộ trình 7 tuần</t>
  </si>
  <si>
    <t xml:space="preserve">Setup</t>
  </si>
  <si>
    <t xml:space="preserve">Tuần 1</t>
  </si>
  <si>
    <t xml:space="preserve">📚 Tuần 2</t>
  </si>
  <si>
    <t xml:space="preserve">Systematic search PRISMA, Evidence Table 6 cột, xác định research gap</t>
  </si>
  <si>
    <t xml:space="preserve">Phase 2</t>
  </si>
  <si>
    <t xml:space="preserve">Tuần 2</t>
  </si>
  <si>
    <t xml:space="preserve">💡 Tuần 3</t>
  </si>
  <si>
    <t xml:space="preserve">Phát biểu H0/H1, xác định biến, thiết kế thực nghiệm</t>
  </si>
  <si>
    <t xml:space="preserve">Phase 3</t>
  </si>
  <si>
    <t xml:space="preserve">Tuần 3</t>
  </si>
  <si>
    <t xml:space="preserve">🧪 Tuần 4–5</t>
  </si>
  <si>
    <t xml:space="preserve">Xây dựng prototype / công cụ, thu thập dữ liệu ban đầu</t>
  </si>
  <si>
    <t xml:space="preserve">Phase 4</t>
  </si>
  <si>
    <t xml:space="preserve">Tuần 4–5</t>
  </si>
  <si>
    <t xml:space="preserve">📊 Tuần 6</t>
  </si>
  <si>
    <t xml:space="preserve">Phân tích dữ liệu, thống kê, biểu đồ, kiểm định giả thuyết</t>
  </si>
  <si>
    <t xml:space="preserve">Phase 5</t>
  </si>
  <si>
    <t xml:space="preserve">Tuần 6</t>
  </si>
  <si>
    <t xml:space="preserve">📝 Tuần 7–8</t>
  </si>
  <si>
    <t xml:space="preserve">Viết báo cáo nghiên cứu, chuẩn bị nộp / trình bày</t>
  </si>
  <si>
    <t xml:space="preserve">Phase 6</t>
  </si>
  <si>
    <t xml:space="preserve">Tuần 7–8</t>
  </si>
  <si>
    <t xml:space="preserve">📈 Progress</t>
  </si>
  <si>
    <t xml:space="preserve">Theo dõi % hoàn thành từng phase – tự điền</t>
  </si>
  <si>
    <t xml:space="preserve">All</t>
  </si>
  <si>
    <t xml:space="preserve">QUY TRÌNH 6 BƯỚC (Bắt buộc đạt tối thiểu Giai đoạn 3)</t>
  </si>
  <si>
    <t xml:space="preserve">Giai đoạn</t>
  </si>
  <si>
    <t xml:space="preserve">Tên</t>
  </si>
  <si>
    <t xml:space="preserve">Mô tả</t>
  </si>
  <si>
    <t xml:space="preserve">Trạng thái</t>
  </si>
  <si>
    <t xml:space="preserve">Giai đoạn 1</t>
  </si>
  <si>
    <t xml:space="preserve">Research Question</t>
  </si>
  <si>
    <t xml:space="preserve">Đọc survey papers → Problem Framing Canvas → Phát biểu RQ theo chuẩn PICO</t>
  </si>
  <si>
    <t xml:space="preserve">✅ BẮT BUỘC</t>
  </si>
  <si>
    <t xml:space="preserve">Giai đoạn 2</t>
  </si>
  <si>
    <t xml:space="preserve">Literature Review</t>
  </si>
  <si>
    <t xml:space="preserve">Systematic search PRISMA → Evidence Table → Xác định research gap</t>
  </si>
  <si>
    <t xml:space="preserve">Giai đoạn 3</t>
  </si>
  <si>
    <t xml:space="preserve">Hypothesis</t>
  </si>
  <si>
    <t xml:space="preserve">Phát biểu H0/H1 → Xác định biến → Thiết kế thực nghiệm</t>
  </si>
  <si>
    <t xml:space="preserve">✅ BẮT BUỘC (tối thiểu)</t>
  </si>
  <si>
    <t xml:space="preserve">Giai đoạn 4</t>
  </si>
  <si>
    <t xml:space="preserve">Experiment / Prototype</t>
  </si>
  <si>
    <t xml:space="preserve">Xây dựng công cụ / prototype → Thu thập dữ liệu</t>
  </si>
  <si>
    <t xml:space="preserve">⭐ Khuyến khích</t>
  </si>
  <si>
    <t xml:space="preserve">Giai đoạn 5</t>
  </si>
  <si>
    <t xml:space="preserve">Data Analysis</t>
  </si>
  <si>
    <t xml:space="preserve">Phân tích dữ liệu, thống kê, kiểm định giả thuyết</t>
  </si>
  <si>
    <t xml:space="preserve">Giai đoạn 6</t>
  </si>
  <si>
    <t xml:space="preserve">Paper / Publication</t>
  </si>
  <si>
    <t xml:space="preserve">Viết báo cáo, submit conference (RE, REFSQ, RAISE, ICSE…)</t>
  </si>
  <si>
    <t xml:space="preserve">6 RESEARCH THEMES CÓ THỂ CHỌN (từ SWR303 RBL Draft)</t>
  </si>
  <si>
    <t xml:space="preserve">Mã</t>
  </si>
  <si>
    <t xml:space="preserve">Research Theme</t>
  </si>
  <si>
    <t xml:space="preserve">Trọng tâm</t>
  </si>
  <si>
    <t xml:space="preserve">Expected Output</t>
  </si>
  <si>
    <t xml:space="preserve">RT-1</t>
  </si>
  <si>
    <t xml:space="preserve">LLM for Requirement Elicitation</t>
  </si>
  <si>
    <t xml:space="preserve">Dùng LLM hỗ trợ thu thập requirements vs. phỏng vấn truyền thống</t>
  </si>
  <si>
    <t xml:space="preserve">AI elicitation assistant + comparative metrics</t>
  </si>
  <si>
    <t xml:space="preserve">RT-2</t>
  </si>
  <si>
    <t xml:space="preserve">Ambiguity Detection</t>
  </si>
  <si>
    <t xml:space="preserve">AI tự động phát hiện câu requirements mơ hồ</t>
  </si>
  <si>
    <t xml:space="preserve">Ambiguity detector tool</t>
  </si>
  <si>
    <t xml:space="preserve">RT-3</t>
  </si>
  <si>
    <t xml:space="preserve">Requirement Classification</t>
  </si>
  <si>
    <t xml:space="preserve">AI phân loại FR vs NFR</t>
  </si>
  <si>
    <t xml:space="preserve">Requirement corpus + model comparison</t>
  </si>
  <si>
    <t xml:space="preserve">RT-4</t>
  </si>
  <si>
    <t xml:space="preserve">Requirement → Test Generation</t>
  </si>
  <si>
    <t xml:space="preserve">AI chuyển requirements thành test scenarios</t>
  </si>
  <si>
    <t xml:space="preserve">Execution report</t>
  </si>
  <si>
    <t xml:space="preserve">RT-5</t>
  </si>
  <si>
    <t xml:space="preserve">User Story Quality Assessment</t>
  </si>
  <si>
    <t xml:space="preserve">AI đánh giá chất lượng user stories</t>
  </si>
  <si>
    <t xml:space="preserve">Story scoring tool + quality report</t>
  </si>
  <si>
    <t xml:space="preserve">RT-6</t>
  </si>
  <si>
    <t xml:space="preserve">Systematic Literature Review ★ Ưu tiên</t>
  </si>
  <si>
    <t xml:space="preserve">Khảo sát xu hướng AI trong Requirements Engineering</t>
  </si>
  <si>
    <t xml:space="preserve">Research taxonomy + gap analysis</t>
  </si>
  <si>
    <t xml:space="preserve">TUẦN 1 – KHỞI ĐỘNG RBL | SWR303 AI-Augmented Software Requirements | Summer 2026</t>
  </si>
  <si>
    <t xml:space="preserve">⚠️ Điền đầy đủ tất cả ô màu vàng trước khi nộp cho giảng viên vào cuối Tuần 1. Đây là hồ sơ RBL chính thức của team.</t>
  </si>
  <si>
    <t xml:space="preserve">A. THÔNG TIN TEAM</t>
  </si>
  <si>
    <t xml:space="preserve">Tên Team:</t>
  </si>
  <si>
    <t xml:space="preserve">Mã lớp (VD: SE1801):</t>
  </si>
  <si>
    <t xml:space="preserve">Số thành viên:</t>
  </si>
  <si>
    <t xml:space="preserve">Học kỳ:</t>
  </si>
  <si>
    <t xml:space="preserve">Summer 2026</t>
  </si>
  <si>
    <t xml:space="preserve">Ngày lập hồ sơ:</t>
  </si>
  <si>
    <t xml:space="preserve">Họ và Tên đầy đủ</t>
  </si>
  <si>
    <t xml:space="preserve">MSSV</t>
  </si>
  <si>
    <t xml:space="preserve">Vai trò trong team</t>
  </si>
  <si>
    <t xml:space="preserve">Email</t>
  </si>
  <si>
    <t xml:space="preserve">Điện thoại / Zalo</t>
  </si>
  <si>
    <t xml:space="preserve">Team Leader – Điều phối chung, liên lạc GV</t>
  </si>
  <si>
    <t xml:space="preserve">Research Lead – Dẫn dắt tìm kiếm tài liệu, Evidence Table</t>
  </si>
  <si>
    <t xml:space="preserve">Technical Lead – Xây dựng prototype / công cụ AI</t>
  </si>
  <si>
    <t xml:space="preserve">Data Analyst – Thu thập, xử lý và phân tích dữ liệu</t>
  </si>
  <si>
    <t xml:space="preserve">Writer – Soạn thảo báo cáo, format paper</t>
  </si>
  <si>
    <t xml:space="preserve">B. CHỌN TOPIC VÀ RESEARCH THEME</t>
  </si>
  <si>
    <t xml:space="preserve">Topic đã chọn từ danh sách SU26:</t>
  </si>
  <si>
    <t xml:space="preserve">Mã Topic (VD: SU26SWP01):</t>
  </si>
  <si>
    <t xml:space="preserve">Research Theme đã chọn:</t>
  </si>
  <si>
    <t xml:space="preserve">Chọn 1 trong 6 themes từ SWR303 RBL Draft (RT-1 → RT-6) hoặc đề xuất mới</t>
  </si>
  <si>
    <t xml:space="preserve">Mã Theme (VD: RT-3):</t>
  </si>
  <si>
    <t xml:space="preserve">Lý do chọn theme này:</t>
  </si>
  <si>
    <t xml:space="preserve">C. PHÁT BIỂU RESEARCH QUESTION – CẤU TRÚC PICO</t>
  </si>
  <si>
    <t xml:space="preserve">Hướng dẫn: Mỗi RQ cuối cùng phải có đủ 4 thành phần PICO. Đọc ít nhất 3 survey papers về AI in Requirements Engineering trước khi xác định RQ.</t>
  </si>
  <si>
    <t xml:space="preserve">PICO</t>
  </si>
  <si>
    <t xml:space="preserve">Thành phần</t>
  </si>
  <si>
    <t xml:space="preserve">Câu hỏi gợi ý</t>
  </si>
  <si>
    <t xml:space="preserve">Team điền vào đây</t>
  </si>
  <si>
    <t xml:space="preserve">P</t>
  </si>
  <si>
    <t xml:space="preserve">Population</t>
  </si>
  <si>
    <t xml:space="preserve">Đối tượng nào bị ảnh hưởng?</t>
  </si>
  <si>
    <t xml:space="preserve">I</t>
  </si>
  <si>
    <t xml:space="preserve">Intervention</t>
  </si>
  <si>
    <t xml:space="preserve">Phương pháp / công cụ AI nào được áp dụng?</t>
  </si>
  <si>
    <t xml:space="preserve">C</t>
  </si>
  <si>
    <t xml:space="preserve">Comparison</t>
  </si>
  <si>
    <t xml:space="preserve">So sánh với cái gì?</t>
  </si>
  <si>
    <t xml:space="preserve">O</t>
  </si>
  <si>
    <t xml:space="preserve">Outcome</t>
  </si>
  <si>
    <t xml:space="preserve">Kết quả đo bằng gì?</t>
  </si>
  <si>
    <t xml:space="preserve">RQ HOÀN CHỈNH – Phát biểu theo cấu trúc PICO</t>
  </si>
  <si>
    <t xml:space="preserve">Main RQ:</t>
  </si>
  <si>
    <t xml:space="preserve">Mẫu: "Đối với [P], việc sử dụng [I] so với [C] có cải thiện [O] hay không?"</t>
  </si>
  <si>
    <t xml:space="preserve">➜</t>
  </si>
  <si>
    <t xml:space="preserve">Sub-question 1:</t>
  </si>
  <si>
    <t xml:space="preserve">Sub-question 2:</t>
  </si>
  <si>
    <t xml:space="preserve">Sub-question 3:</t>
  </si>
  <si>
    <t xml:space="preserve">D. KẾT QUẢ MONG ĐỢI (Expected Outputs)</t>
  </si>
  <si>
    <t xml:space="preserve">Loại output</t>
  </si>
  <si>
    <t xml:space="preserve">Mô tả cụ thể của team</t>
  </si>
  <si>
    <t xml:space="preserve">Deadline dự kiến</t>
  </si>
  <si>
    <t xml:space="preserve">Công cụ / Tool / Prototype</t>
  </si>
  <si>
    <t xml:space="preserve">Bộ dữ liệu / Dataset</t>
  </si>
  <si>
    <t xml:space="preserve">Báo cáo thực nghiệm</t>
  </si>
  <si>
    <t xml:space="preserve">Draft paper (nếu có)</t>
  </si>
  <si>
    <t xml:space="preserve">E. LỘ TRÌNH THỰC HIỆN – 7 TUẦN CÒN LẠI (Tuần 2 → Tuần 8)</t>
  </si>
  <si>
    <t xml:space="preserve">Giai đoạn RBL</t>
  </si>
  <si>
    <t xml:space="preserve">Mục tiêu / Deliverable của tuần</t>
  </si>
  <si>
    <t xml:space="preserve">Người phụ trách</t>
  </si>
  <si>
    <t xml:space="preserve">Deadline nộp</t>
  </si>
  <si>
    <t xml:space="preserve">Phase 2: Literature Review</t>
  </si>
  <si>
    <t xml:space="preserve">Tìm 8-10 papers, lọc PRISMA, lập Evidence Table, xác định research gap</t>
  </si>
  <si>
    <t xml:space="preserve">Research Lead</t>
  </si>
  <si>
    <t xml:space="preserve">Phase 3: Hypothesis</t>
  </si>
  <si>
    <t xml:space="preserve">Phát biểu H0/H1, xác định biến ĐL/PT/KS, thiết kế thực nghiệm chi tiết</t>
  </si>
  <si>
    <t xml:space="preserve">Team Leader + Research Lead</t>
  </si>
  <si>
    <t xml:space="preserve">Tuần 4</t>
  </si>
  <si>
    <t xml:space="preserve">Phase 4: Experiment – Setup</t>
  </si>
  <si>
    <t xml:space="preserve">Chuẩn bị dataset, cài đặt môi trường, build prototype/tool (v1)</t>
  </si>
  <si>
    <t xml:space="preserve">Technical Lead + Data Analyst</t>
  </si>
  <si>
    <t xml:space="preserve">Tuần 5</t>
  </si>
  <si>
    <t xml:space="preserve">Phase 4: Experiment – Run</t>
  </si>
  <si>
    <t xml:space="preserve">Chạy thực nghiệm, thu thập kết quả ban đầu, ghi log</t>
  </si>
  <si>
    <t xml:space="preserve">Phase 5: Data Analysis</t>
  </si>
  <si>
    <t xml:space="preserve">Phân tích dữ liệu, vẽ biểu đồ, kiểm định thống kê, kết luận tạm thời</t>
  </si>
  <si>
    <t xml:space="preserve">Data Analyst + Research Lead</t>
  </si>
  <si>
    <t xml:space="preserve">Tuần 7</t>
  </si>
  <si>
    <t xml:space="preserve">Phase 6: Paper Draft</t>
  </si>
  <si>
    <t xml:space="preserve">Viết draft paper/báo cáo: Abstract, Introduction, Methodology, Results</t>
  </si>
  <si>
    <t xml:space="preserve">Writer + All</t>
  </si>
  <si>
    <t xml:space="preserve">Tuần 8</t>
  </si>
  <si>
    <t xml:space="preserve">Phase 6: Final Submission</t>
  </si>
  <si>
    <t xml:space="preserve">Hoàn thiện paper, chuẩn bị trình bày, nộp GV</t>
  </si>
  <si>
    <t xml:space="preserve">F. XÁC NHẬN GIẢNG VIÊN</t>
  </si>
  <si>
    <t xml:space="preserve">GV hướng dẫn:</t>
  </si>
  <si>
    <t xml:space="preserve">Ngày duyệt:</t>
  </si>
  <si>
    <t xml:space="preserve">Trạng thái:</t>
  </si>
  <si>
    <t xml:space="preserve">⬜ Chưa nộp   ⬜ Đã nộp   ⬜ GV đã duyệt   ⬜ Cần chỉnh sửa</t>
  </si>
  <si>
    <t xml:space="preserve">Nhận xét GV:</t>
  </si>
  <si>
    <t xml:space="preserve">TUẦN 2 – LITERATURE REVIEW | Phase 2: Systematic Search &amp; Evidence Table</t>
  </si>
  <si>
    <t xml:space="preserve">Thực hiện systematic search theo giao thức PRISMA rút gọn: Tìm kiếm → Lọc tiêu đề/abstract → Đọc full-text → Tổng hợp vào Evidence Table</t>
  </si>
  <si>
    <t xml:space="preserve">A. SEARCH STRING &amp; NGUỒN TÌM KIẾM</t>
  </si>
  <si>
    <t xml:space="preserve">Search String chính:</t>
  </si>
  <si>
    <t xml:space="preserve">Ví dụ: ("requirements classification" OR "NFR detection") AND ("LLM" OR "GPT") AND ("software requirements")</t>
  </si>
  <si>
    <t xml:space="preserve">Nguồn đã tìm:</t>
  </si>
  <si>
    <t xml:space="preserve">✅ Google Scholar  ✅ IEEE Xplore  ✅ ACM DL  ✅ Semantic Scholar  ✅ Scopus</t>
  </si>
  <si>
    <t xml:space="preserve">Số papers tìm thấy ban đầu:</t>
  </si>
  <si>
    <t xml:space="preserve">Sau lọc tiêu đề/abstract:</t>
  </si>
  <si>
    <t xml:space="preserve">Sau đọc full-text:</t>
  </si>
  <si>
    <t xml:space="preserve">Papers đưa vào bảng:</t>
  </si>
  <si>
    <t xml:space="preserve">B. EVIDENCE TABLE (Tối thiểu 8 papers)</t>
  </si>
  <si>
    <t xml:space="preserve">Tên paper (Author, Year, Venue)</t>
  </si>
  <si>
    <t xml:space="preserve">Phương pháp AI</t>
  </si>
  <si>
    <t xml:space="preserve">Dataset</t>
  </si>
  <si>
    <t xml:space="preserve">Metric chính</t>
  </si>
  <si>
    <t xml:space="preserve">Kết quả tốt nhất</t>
  </si>
  <si>
    <t xml:space="preserve">Hạn chế / Gap</t>
  </si>
  <si>
    <t xml:space="preserve">Link / DOI</t>
  </si>
  <si>
    <t xml:space="preserve">C. XÁC ĐỊNH RESEARCH GAP</t>
  </si>
  <si>
    <t xml:space="preserve">Những gì đã biết (What is known):</t>
  </si>
  <si>
    <t xml:space="preserve">Khoảng trống nghiên cứu (Research Gap):</t>
  </si>
  <si>
    <t xml:space="preserve">Tại sao gap này quan trọng?</t>
  </si>
  <si>
    <t xml:space="preserve">TUẦN 3 – HYPOTHESIS | Phase 3: Phát biểu Giả thuyết &amp; Thiết kế Thực nghiệm</t>
  </si>
  <si>
    <t xml:space="preserve">Từ research gap đã xác định ở Tuần 2, team phát biểu cặp giả thuyết và thiết kế chi tiết thực nghiệm.</t>
  </si>
  <si>
    <t xml:space="preserve">A. CẶP GIẢ THUYẾT</t>
  </si>
  <si>
    <t xml:space="preserve">H0 (Null Hypothesis):</t>
  </si>
  <si>
    <t xml:space="preserve">Phát biểu: 'Không có sự khác biệt có ý nghĩa thống kê giữa [I] và [C] về [O]'</t>
  </si>
  <si>
    <t xml:space="preserve">H0:</t>
  </si>
  <si>
    <t xml:space="preserve">H1 (Alternative Hypothesis):</t>
  </si>
  <si>
    <t xml:space="preserve">Phát biểu: '[I] đạt [O] cao hơn có ý nghĩa thống kê so với [C] (α = 0.05, ngưỡng thực tiễn: Δ ≥ X)'</t>
  </si>
  <si>
    <t xml:space="preserve">H1:</t>
  </si>
  <si>
    <t xml:space="preserve">B. XÁC ĐỊNH BIẾN SỐ</t>
  </si>
  <si>
    <t xml:space="preserve">Loại biến</t>
  </si>
  <si>
    <t xml:space="preserve">Tên biến</t>
  </si>
  <si>
    <t xml:space="preserve">Cách đo lường</t>
  </si>
  <si>
    <t xml:space="preserve">Biến độc lập
(Independent Variable)</t>
  </si>
  <si>
    <t xml:space="preserve">Phương thức / công cụ được áp dụng</t>
  </si>
  <si>
    <t xml:space="preserve">Biến phụ thuộc
(Dependent Variable)</t>
  </si>
  <si>
    <t xml:space="preserve">Metric kết quả (F1, accuracy, time...)</t>
  </si>
  <si>
    <t xml:space="preserve">Biến kiểm soát
(Control Variable)</t>
  </si>
  <si>
    <t xml:space="preserve">Dataset, prompt, điều kiện môi trường...</t>
  </si>
  <si>
    <t xml:space="preserve">C. THIẾT KẾ THỰC NGHIỆM CHI TIẾT</t>
  </si>
  <si>
    <t xml:space="preserve">Dataset sử dụng:</t>
  </si>
  <si>
    <t xml:space="preserve">VD: PROMISE NFR Dataset / Promise Repository / Tự thu thập</t>
  </si>
  <si>
    <t xml:space="preserve">Quy mô dữ liệu:</t>
  </si>
  <si>
    <t xml:space="preserve">Số samples, số classes, nguồn gốc</t>
  </si>
  <si>
    <t xml:space="preserve">Công cụ / Framework:</t>
  </si>
  <si>
    <t xml:space="preserve">VD: Python, HuggingFace, OpenAI API, scikit-learn</t>
  </si>
  <si>
    <t xml:space="preserve">Phương pháp đánh giá:</t>
  </si>
  <si>
    <t xml:space="preserve">VD: 5-fold cross-validation, hold-out 80/20</t>
  </si>
  <si>
    <t xml:space="preserve">Metrics chính:</t>
  </si>
  <si>
    <t xml:space="preserve">VD: Precision, Recall, F1-score, Cohen's Kappa</t>
  </si>
  <si>
    <t xml:space="preserve">Mức ý nghĩa (α):</t>
  </si>
  <si>
    <t xml:space="preserve">VD: 0.05</t>
  </si>
  <si>
    <t xml:space="preserve">Ngưỡng thực tiễn (Δ):</t>
  </si>
  <si>
    <t xml:space="preserve">VD: F1 cải thiện ≥ 0.10</t>
  </si>
  <si>
    <t xml:space="preserve">TUẦN 4–5 – EXPERIMENT / PROTOTYPE | Phase 4: Xây dựng &amp; Chạy Thực nghiệm</t>
  </si>
  <si>
    <t xml:space="preserve">A. NHẬT KÝ THỰC NGHIỆM</t>
  </si>
  <si>
    <t xml:space="preserve">Ngày</t>
  </si>
  <si>
    <t xml:space="preserve">Task thực hiện</t>
  </si>
  <si>
    <t xml:space="preserve">Kết quả / Quan sát</t>
  </si>
  <si>
    <t xml:space="preserve">Vấn đề gặp phải</t>
  </si>
  <si>
    <t xml:space="preserve">Người thực hiện</t>
  </si>
  <si>
    <t xml:space="preserve">B. KẾT QUẢ THU THẬP</t>
  </si>
  <si>
    <t xml:space="preserve">Run#</t>
  </si>
  <si>
    <t xml:space="preserve">Cấu hình / Prompt / Model</t>
  </si>
  <si>
    <t xml:space="preserve">Precision</t>
  </si>
  <si>
    <t xml:space="preserve">Recall</t>
  </si>
  <si>
    <t xml:space="preserve">F1-Score</t>
  </si>
  <si>
    <t xml:space="preserve">Accuracy</t>
  </si>
  <si>
    <t xml:space="preserve">Ghi chú</t>
  </si>
  <si>
    <t xml:space="preserve">TUẦN 6 – DATA ANALYSIS | Phase 5: Phân tích Dữ liệu &amp; Kiểm định Giả thuyết</t>
  </si>
  <si>
    <t xml:space="preserve">A. BẢNG KẾT QUẢ TỔNG HỢP</t>
  </si>
  <si>
    <t xml:space="preserve">Phương pháp</t>
  </si>
  <si>
    <t xml:space="preserve">Precision (avg)</t>
  </si>
  <si>
    <t xml:space="preserve">Recall (avg)</t>
  </si>
  <si>
    <t xml:space="preserve">F1 (avg)</t>
  </si>
  <si>
    <t xml:space="preserve">p-value</t>
  </si>
  <si>
    <t xml:space="preserve">Kết luận</t>
  </si>
  <si>
    <t xml:space="preserve">Baseline (Manual / Rule-based)</t>
  </si>
  <si>
    <t xml:space="preserve">Intervention (AI Method)</t>
  </si>
  <si>
    <t xml:space="preserve">So sánh (Δ)</t>
  </si>
  <si>
    <t xml:space="preserve">B. KẾT LUẬN GIẢ THUYẾT</t>
  </si>
  <si>
    <t xml:space="preserve">Kết quả kiểm định:</t>
  </si>
  <si>
    <t xml:space="preserve">H0 bị bác bỏ / Không đủ bằng chứng bác bỏ H0. p = ?  Δ = ?</t>
  </si>
  <si>
    <t xml:space="preserve">Nhận xét chính:</t>
  </si>
  <si>
    <t xml:space="preserve">Hạn chế của nghiên cứu:</t>
  </si>
  <si>
    <t xml:space="preserve">TUẦN 7–8 – PAPER / BÁO CÁO | Phase 6: Viết &amp; Nộp Kết quả Nghiên cứu</t>
  </si>
  <si>
    <t xml:space="preserve">CHECKLIST CẤU TRÚC PAPER</t>
  </si>
  <si>
    <t xml:space="preserve">Phần / Section</t>
  </si>
  <si>
    <t xml:space="preserve">Hướng dẫn nội dung</t>
  </si>
  <si>
    <t xml:space="preserve">Title</t>
  </si>
  <si>
    <t xml:space="preserve">Tiêu đề ngắn gọn, rõ ràng, có từ khóa AI + Requirements Engineering</t>
  </si>
  <si>
    <t xml:space="preserve">⬜ Chưa làm</t>
  </si>
  <si>
    <t xml:space="preserve">Abstract</t>
  </si>
  <si>
    <t xml:space="preserve">~150-200 từ: background, RQ, method, results, conclusion</t>
  </si>
  <si>
    <t xml:space="preserve">Introduction</t>
  </si>
  <si>
    <t xml:space="preserve">Bối cảnh, vấn đề, RQ, đóng góp, cấu trúc paper</t>
  </si>
  <si>
    <t xml:space="preserve">Related Work / Literature Review</t>
  </si>
  <si>
    <t xml:space="preserve">Tóm tắt evidence table, chỉ ra research gap</t>
  </si>
  <si>
    <t xml:space="preserve">Research Question &amp; Hypothesis</t>
  </si>
  <si>
    <t xml:space="preserve">Phát biểu chính thức RQ + H0/H1 + PICO</t>
  </si>
  <si>
    <t xml:space="preserve">Methodology</t>
  </si>
  <si>
    <t xml:space="preserve">Dataset, tools, experiment design, metrics</t>
  </si>
  <si>
    <t xml:space="preserve">Results</t>
  </si>
  <si>
    <t xml:space="preserve">Bảng kết quả, biểu đồ, so sánh với baseline</t>
  </si>
  <si>
    <t xml:space="preserve">Discussion</t>
  </si>
  <si>
    <t xml:space="preserve">Giải thích kết quả, trả lời RQ, confirm/reject H1</t>
  </si>
  <si>
    <t xml:space="preserve">Threats to Validity</t>
  </si>
  <si>
    <t xml:space="preserve">Internal, external, construct validity</t>
  </si>
  <si>
    <t xml:space="preserve">Conclusion &amp; Future Work</t>
  </si>
  <si>
    <t xml:space="preserve">Tóm tắt đóng góp, hướng nghiên cứu tiếp theo</t>
  </si>
  <si>
    <t xml:space="preserve">References</t>
  </si>
  <si>
    <t xml:space="preserve">IEEE format / ACM format, ≥ 10 tài liệu</t>
  </si>
  <si>
    <t xml:space="preserve">HỘI NGHỊ THAM KHẢO NỘP PAPER</t>
  </si>
  <si>
    <t xml:space="preserve">Tên hội nghị</t>
  </si>
  <si>
    <t xml:space="preserve">Focus</t>
  </si>
  <si>
    <t xml:space="preserve">Team dự định nộp?</t>
  </si>
  <si>
    <t xml:space="preserve">IEEE RE</t>
  </si>
  <si>
    <t xml:space="preserve">IEEE International Requirements Engineering Conference</t>
  </si>
  <si>
    <t xml:space="preserve">requirements engineering</t>
  </si>
  <si>
    <t xml:space="preserve">⬜ Không  ⬜ Đang xem xét  ⬜ Có</t>
  </si>
  <si>
    <t xml:space="preserve">REFSQ</t>
  </si>
  <si>
    <t xml:space="preserve">Requirements Engineering: Foundation for Software Quality</t>
  </si>
  <si>
    <t xml:space="preserve">requirements quality</t>
  </si>
  <si>
    <t xml:space="preserve">RAISE</t>
  </si>
  <si>
    <t xml:space="preserve">RE for AI-powered Software (Workshop tại ICSE)</t>
  </si>
  <si>
    <t xml:space="preserve">AI + requirements</t>
  </si>
  <si>
    <t xml:space="preserve">ICSE</t>
  </si>
  <si>
    <t xml:space="preserve">International Conference on Software Engineering</t>
  </si>
  <si>
    <t xml:space="preserve">software engineering</t>
  </si>
  <si>
    <t xml:space="preserve">PROGRESS DASHBOARD – Theo dõi Tiến độ RBL | Team điền % hoàn thành mỗi tuần</t>
  </si>
  <si>
    <t xml:space="preserve">TỔNG QUAN TIẾN ĐỘ</t>
  </si>
  <si>
    <t xml:space="preserve">% Hoàn thành</t>
  </si>
  <si>
    <t xml:space="preserve">Ghi chú / Vấn đề</t>
  </si>
  <si>
    <t xml:space="preserve">Phase 1</t>
  </si>
  <si>
    <t xml:space="preserve">Research Question &amp; Team Setup</t>
  </si>
  <si>
    <t xml:space="preserve">0%</t>
  </si>
  <si>
    <t xml:space="preserve">⬜ Chưa bắt đầu</t>
  </si>
  <si>
    <t xml:space="preserve">Literature Review &amp; Evidence Table</t>
  </si>
  <si>
    <t xml:space="preserve">Hypothesis &amp; Experiment Design</t>
  </si>
  <si>
    <t xml:space="preserve">Paper / Báo cáo</t>
  </si>
  <si>
    <t xml:space="preserve">WEEKLY CHECK-IN (Team tự điền mỗi tuần vào buổi cuối tuần)</t>
  </si>
  <si>
    <t xml:space="preserve">Đã làm được gì?</t>
  </si>
  <si>
    <t xml:space="preserve">Vấn đề / Khó khăn</t>
  </si>
  <si>
    <t xml:space="preserve">Kế hoạch tuần tới</t>
  </si>
  <si>
    <t xml:space="preserve">RQ &amp; PAPER GỢI Ý THEO TỪNG TOPIC  |  SWR303 SU26  |  Dành cho sinh viên SE chưa học AI</t>
  </si>
  <si>
    <t xml:space="preserve">💡 Tất cả RQ và method được thiết kế phù hợp sinh viên SE: dùng API có sẵn (GPT/Gemini), khảo sát, user study – KHÔNG cần train model từ đầu</t>
  </si>
  <si>
    <t xml:space="preserve">⭐ Dễ = Survey/Interview/UX Study  |  ⭐⭐ Trung bình = Dùng API + User Study  |  ⭐⭐⭐ Khó = RAG pipeline (có thư viện hỗ trợ)</t>
  </si>
  <si>
    <t xml:space="preserve">Topic</t>
  </si>
  <si>
    <t xml:space="preserve">Độ khó</t>
  </si>
  <si>
    <t xml:space="preserve">Smart Car Wash – Loyalty Program</t>
  </si>
  <si>
    <t xml:space="preserve">SU26SWP01</t>
  </si>
  <si>
    <t xml:space="preserve">Ảnh hưởng của chương trình loyalty đến hành vi sử dụng dịch vụ</t>
  </si>
  <si>
    <t xml:space="preserve">⭐ Dễ – Survey + Log Analysis</t>
  </si>
  <si>
    <t xml:space="preserve">Career Roadmap Platform for SE Students</t>
  </si>
  <si>
    <t xml:space="preserve">SU26SWP02</t>
  </si>
  <si>
    <t xml:space="preserve">Đánh giá hiệu quả của AI-assisted career guidance với sinh viên SE</t>
  </si>
  <si>
    <t xml:space="preserve">⭐⭐ Trung bình – User Study + GPT API</t>
  </si>
  <si>
    <t xml:space="preserve">Horse Racing Tournament Management</t>
  </si>
  <si>
    <t xml:space="preserve">SU26SWP03</t>
  </si>
  <si>
    <t xml:space="preserve">Đánh giá trải nghiệm người dùng của hệ thống quản lý giải đấu</t>
  </si>
  <si>
    <t xml:space="preserve">⭐ Dễ – UX Evaluation + Expert Interview</t>
  </si>
  <si>
    <t xml:space="preserve">SEAL – Hackathon Management System</t>
  </si>
  <si>
    <t xml:space="preserve">SU26SWP04</t>
  </si>
  <si>
    <t xml:space="preserve">Đo lường tính nhất quán trong chấm điểm hackathon (Inter-Rater Reliability)</t>
  </si>
  <si>
    <t xml:space="preserve">⭐⭐ Trung bình – Statistical Analysis (không cần code AI)</t>
  </si>
  <si>
    <t xml:space="preserve">Manga Creation Workflow &amp; Publishing</t>
  </si>
  <si>
    <t xml:space="preserve">SU26SWP05</t>
  </si>
  <si>
    <t xml:space="preserve">Đánh giá trải nghiệm làm việc của Mangaka với hệ thống số vs thủ công</t>
  </si>
  <si>
    <t xml:space="preserve">⭐ Dễ – UX Study + Workflow Analysis</t>
  </si>
  <si>
    <t xml:space="preserve">Scientific Journal Publication Trend Tracking</t>
  </si>
  <si>
    <t xml:space="preserve">SU26SWP06</t>
  </si>
  <si>
    <t xml:space="preserve">Đánh giá khả năng phát hiện xu hướng nghiên cứu của hệ thống so với tìm kiếm thủ công</t>
  </si>
  <si>
    <t xml:space="preserve">⭐⭐ Trung bình – API + User Study</t>
  </si>
  <si>
    <t xml:space="preserve">AI Marketplace – AITasker</t>
  </si>
  <si>
    <t xml:space="preserve">SU26SWP07</t>
  </si>
  <si>
    <t xml:space="preserve">Đánh giá chất lượng mô tả dự án được hỗ trợ bởi AI so với mô tả do người dùng tự viết</t>
  </si>
  <si>
    <t xml:space="preserve">⭐⭐ Trung bình – GPT API + Blind Evaluation</t>
  </si>
  <si>
    <t xml:space="preserve">Parking Building Management System</t>
  </si>
  <si>
    <t xml:space="preserve">SU26SWP08</t>
  </si>
  <si>
    <t xml:space="preserve">So sánh hiệu quả phân bổ chỗ đỗ xe tự động vs tự chọn</t>
  </si>
  <si>
    <t xml:space="preserve">⭐ Dễ – Simulation + User Survey</t>
  </si>
  <si>
    <t xml:space="preserve">Chatbot Hỏi Đáp Tài Liệu – RAG vs Fine-tuning</t>
  </si>
  <si>
    <t xml:space="preserve">SU26SWP09</t>
  </si>
  <si>
    <t xml:space="preserve">So sánh chất lượng câu trả lời của RAG chatbot với các cấu hình chunking khác nhau</t>
  </si>
  <si>
    <t xml:space="preserve">⭐⭐⭐ Khó nhất – nhưng dùng thư viện sẵn có (LangChain, OpenAI)</t>
  </si>
  <si>
    <t xml:space="preserve">AI Study Hub – Document Management</t>
  </si>
  <si>
    <t xml:space="preserve">SU26SWP10</t>
  </si>
  <si>
    <t xml:space="preserve">So sánh trải nghiệm tìm kiếm tài liệu: AI semantic search vs keyword search thủ công</t>
  </si>
  <si>
    <t xml:space="preserve">⭐⭐ Trung bình – API + Controlled User Study</t>
  </si>
  <si>
    <t xml:space="preserve">Hệ thống Quản lý CLB – FPTU</t>
  </si>
  <si>
    <t xml:space="preserve">SU26SWP11</t>
  </si>
  <si>
    <t xml:space="preserve">Đánh giá hiệu quả chuyển giao kiến thức giữa các thế hệ BĐH nhờ knowledge base tập trung</t>
  </si>
  <si>
    <t xml:space="preserve">⭐ Dễ – Survey + Interview + System Evaluation</t>
  </si>
  <si>
    <t xml:space="preserve">TOPIC 1  ·  [SU26SWP01]  Smart Car Wash – Loyalty Program</t>
  </si>
  <si>
    <t xml:space="preserve">Hướng tiếp cận:</t>
  </si>
  <si>
    <t xml:space="preserve">Khảo sát người dùng + phân tích log hành vi từ hệ thống prototype</t>
  </si>
  <si>
    <t xml:space="preserve">Nội dung</t>
  </si>
  <si>
    <t xml:space="preserve">P  Population</t>
  </si>
  <si>
    <t xml:space="preserve">Khách hàng rửa xe tại TP.HCM, độ tuổi 18–45, có điện thoại smartphone</t>
  </si>
  <si>
    <t xml:space="preserve">I  Intervention</t>
  </si>
  <si>
    <t xml:space="preserve">Ứng dụng booking tích hợp loyalty tier: tích điểm, đổi thưởng, ưu tiên đặt lịch theo hạng</t>
  </si>
  <si>
    <t xml:space="preserve">C  Comparison</t>
  </si>
  <si>
    <t xml:space="preserve">Chương trình stamp card / thẻ thành viên truyền thống (không có app, không có tier)</t>
  </si>
  <si>
    <t xml:space="preserve">O  Outcome</t>
  </si>
  <si>
    <t xml:space="preserve">Tần suất sử dụng (lần/tháng), điểm hài lòng (1–5), tỷ lệ đổi thưởng, ý định tiếp tục dùng</t>
  </si>
  <si>
    <t xml:space="preserve">MAIN RQ</t>
  </si>
  <si>
    <t xml:space="preserve">Đối với khách hàng sử dụng dịch vụ rửa xe tại TP.HCM (P), chương trình loyalty tier (Silver/Gold/Platinum) tích hợp vào app booking (I) so với chương trình stamp card truyền thống (C) có ảnh hưởng như thế nào đến tần suất sử dụng và mức độ hài lòng của khách hàng (O)?</t>
  </si>
  <si>
    <t xml:space="preserve">SUB-RQs</t>
  </si>
  <si>
    <t xml:space="preserve">RQ1: Yếu tố nào trong chương trình loyalty (tích điểm, đặt lịch ưu tiên, quà tặng) được khách hàng đánh giá hữu ích nhất?</t>
  </si>
  <si>
    <t xml:space="preserve">RQ2: Có sự khác biệt đáng kể về tần suất sử dụng giữa khách hàng ở các tier (Member/Silver/Gold/Platinum) không?</t>
  </si>
  <si>
    <t xml:space="preserve">RQ3: Những rào cản nào khiến khách hàng không nâng tier hoặc không đổi điểm thưởng?</t>
  </si>
  <si>
    <t xml:space="preserve">METHOD</t>
  </si>
  <si>
    <t xml:space="preserve">📋 Khảo sát (Google Form) + 📊 Phân tích log hệ thống (booking, points, redemption)</t>
  </si>
  <si>
    <t xml:space="preserve">Tools:</t>
  </si>
  <si>
    <t xml:space="preserve">Google Form, Excel/Google Sheets, Google Analytics (nếu có)</t>
  </si>
  <si>
    <t xml:space="preserve">DATASET</t>
  </si>
  <si>
    <t xml:space="preserve">Log tự thu thập từ prototype app + kết quả khảo sát (mục tiêu ≥ 100 phản hồi)</t>
  </si>
  <si>
    <t xml:space="preserve">📝 GHI CHÚ</t>
  </si>
  <si>
    <t xml:space="preserve">Không cần AI. Phân tích descriptive statistics, correlation, chi-square test.</t>
  </si>
  <si>
    <t xml:space="preserve">PAPERS
ĐỀ XUẤT</t>
  </si>
  <si>
    <t xml:space="preserve">Tên paper  (click → Google Scholar search)</t>
  </si>
  <si>
    <t xml:space="preserve">1.</t>
  </si>
  <si>
    <t xml:space="preserve">2.</t>
  </si>
  <si>
    <t xml:space="preserve">3.</t>
  </si>
  <si>
    <t xml:space="preserve">4.</t>
  </si>
  <si>
    <t xml:space="preserve">5.</t>
  </si>
  <si>
    <t xml:space="preserve">TOPIC 2  ·  [SU26SWP02]  Career Roadmap Platform for SE Students</t>
  </si>
  <si>
    <t xml:space="preserve">Dùng GPT-4 API sẵn có để sinh career roadmap, sau đó đánh giá chất lượng bằng khảo sát</t>
  </si>
  <si>
    <t xml:space="preserve">Sinh viên Kỹ thuật Phần mềm năm 2–3, chưa xác định rõ career path</t>
  </si>
  <si>
    <t xml:space="preserve">Hệ thống tự động gợi ý career path + learning roadmap cá nhân hóa dùng ChatGPT API dựa trên skills + interests của sinh viên</t>
  </si>
  <si>
    <t xml:space="preserve">Roadmap tĩnh: roadmap.sh, TopDev Career Guide, tư vấn cố vấn học tập</t>
  </si>
  <si>
    <t xml:space="preserve">Perceived usefulness (thang Likert 5), perceived relevance, user satisfaction (SUS score)</t>
  </si>
  <si>
    <t xml:space="preserve">Đối với sinh viên Kỹ thuật Phần mềm năm 2–3 tại Việt Nam (P), hệ thống gợi ý lộ trình học tập cá nhân hóa sử dụng ChatGPT API (I) so với các roadmap tĩnh phổ biến trên internet (roadmap.sh, TopDev Career Guide) (C) có được đánh giá hữu ích và phù hợp hơn không (O)?</t>
  </si>
  <si>
    <t xml:space="preserve">RQ1: Sinh viên đánh giá roadmap do AI gợi ý có phù hợp với mục tiêu nghề nghiệp của họ hơn roadmap tĩnh không?</t>
  </si>
  <si>
    <t xml:space="preserve">RQ2: Yếu tố nào của roadmap cá nhân hóa (skill gap rõ ràng, resource cụ thể, timeline thực tế) được sinh viên đánh giá quan trọng nhất?</t>
  </si>
  <si>
    <t xml:space="preserve">RQ3: Trải nghiệm sử dụng hệ thống (UX) có đủ tốt để sinh viên dùng thường xuyên không (SUS ≥ 68)?</t>
  </si>
  <si>
    <t xml:space="preserve">📋 User Study + Khảo sát SUS + 🔀 Comparative Evaluation (AI roadmap vs. static roadmap)</t>
  </si>
  <si>
    <t xml:space="preserve">ChatGPT API (GPT-4o), Google Form, SUS questionnaire template</t>
  </si>
  <si>
    <t xml:space="preserve">Khảo sát ≥ 50 sinh viên SE, mỗi người thử cả 2 hệ thống và đánh giá</t>
  </si>
  <si>
    <t xml:space="preserve">Không cần train model. Gọi GPT API với prompt engineering. Phân tích bằng SPSS/Excel.</t>
  </si>
  <si>
    <t xml:space="preserve">TOPIC 3  ·  [SU26SWP03]  Horse Racing Tournament Management</t>
  </si>
  <si>
    <t xml:space="preserve">Đánh giá UX hệ thống + so sánh quy trình quản lý thủ công vs hệ thống</t>
  </si>
  <si>
    <t xml:space="preserve">Ban tổ chức, trọng tài, chủ ngựa và jockey tham gia giải đua ngựa</t>
  </si>
  <si>
    <t xml:space="preserve">Hệ thống quản lý giải đấu kỹ thuật số: đăng ký online, lập lịch tự động, kết quả real-time</t>
  </si>
  <si>
    <t xml:space="preserve">Quy trình thủ công: đăng ký qua email/giấy, lên lịch bằng Excel, công bố kết quả bảng thông báo</t>
  </si>
  <si>
    <t xml:space="preserve">Thời gian xử lý đăng ký (phút), tỷ lệ sai sót dữ liệu (%), user satisfaction (SUS), task completion rate</t>
  </si>
  <si>
    <t xml:space="preserve">Đối với ban tổ chức và các bên liên quan trong giải đua ngựa (P), hệ thống quản lý giải đấu kỹ thuật số (I) so với quy trình quản lý thủ công hiện tại (Excel, giấy tờ) (C) có cải thiện hiệu quả quản lý và giảm thiểu sai sót trong đăng ký, lên lịch và công bố kết quả hay không (O)?</t>
  </si>
  <si>
    <t xml:space="preserve">RQ1: Hệ thống có giúp giảm thời gian xử lý đăng ký và lên lịch thi đấu so với phương pháp thủ công không?</t>
  </si>
  <si>
    <t xml:space="preserve">RQ2: Người dùng (ban tổ chức, trọng tài, jockey) đánh giá usability của hệ thống ở mức nào (SUS score)?</t>
  </si>
  <si>
    <t xml:space="preserve">RQ3: Tính năng nào của hệ thống được người dùng đánh giá hữu ích nhất và gặp khó khăn nhất?</t>
  </si>
  <si>
    <t xml:space="preserve">📋 Usability Testing (Think-Aloud) + SUS Survey + ⏱️ Task Time Measurement</t>
  </si>
  <si>
    <t xml:space="preserve">SUS Questionnaire, Think-aloud protocol, screen recording, Google Form</t>
  </si>
  <si>
    <t xml:space="preserve">5–8 người dùng thử prototype (usability testing) + khảo sát định lượng</t>
  </si>
  <si>
    <t xml:space="preserve">Không cần AI. Tập trung vào software evaluation methodology.</t>
  </si>
  <si>
    <t xml:space="preserve">TOPIC 4  ·  [SU26SWP04]  SEAL – Hackathon Management System</t>
  </si>
  <si>
    <t xml:space="preserve">Thu thập điểm số từ nhiều giám khảo → tính hệ số đồng thuận bằng Excel/SPSS/Python cơ bản</t>
  </si>
  <si>
    <t xml:space="preserve">Giám khảo (giảng viên SE + khách mời doanh nghiệp) chấm điểm bài nộp SEAL Hackathon</t>
  </si>
  <si>
    <t xml:space="preserve">Điểm số các tiêu chí kỹ thuật (code quality, architecture, technical innovation)</t>
  </si>
  <si>
    <t xml:space="preserve">Điểm số các tiêu chí mềm (presentation, teamwork, creativity, business value)</t>
  </si>
  <si>
    <t xml:space="preserve">Intraclass Correlation Coefficient (ICC), Cohen's Kappa, phương sai điểm số giữa các giám khảo</t>
  </si>
  <si>
    <t xml:space="preserve">Đối với các giám khảo chấm điểm bài nộp tại cuộc thi hackathon SEAL – FPT University (P), mức độ đồng thuận trong chấm điểm giữa các giám khảo (inter-rater reliability) (O) hiện tại đạt ngưỡng acceptable (ICC ≥ 0.75) hay không, và tiêu chí kỹ thuật hay tiêu chí mềm có độ phân kỳ cao hơn (I so với C)?</t>
  </si>
  <si>
    <t xml:space="preserve">RQ1: ICC tổng thể của quá trình chấm điểm SEAL là bao nhiêu – đạt ngưỡng reliable hay chưa?</t>
  </si>
  <si>
    <t xml:space="preserve">RQ2: Nhóm tiêu chí nào (technical vs. soft) có độ phân kỳ điểm số giữa giám khảo cao hơn?</t>
  </si>
  <si>
    <t xml:space="preserve">RQ3: Kinh nghiệm của giám khảo (faculty vs. guest) có liên quan đến mức độ đồng thuận trong chấm điểm không?</t>
  </si>
  <si>
    <t xml:space="preserve">📊 Statistical Analysis: ICC, Cohen's Kappa, Bland-Altman plot (dùng Excel hoặc Python pandas)</t>
  </si>
  <si>
    <t xml:space="preserve">Excel, Python (pandas, pingouin library), SPSS (nếu có)</t>
  </si>
  <si>
    <t xml:space="preserve">Score logs từ hệ thống SEAL (mỗi giám khảo × mỗi tiêu chí × mỗi bài nộp) – anonymized</t>
  </si>
  <si>
    <t xml:space="preserve">Không cần AI. Chỉ cần statistical analysis cơ bản. Pingouin library tính ICC rất dễ.</t>
  </si>
  <si>
    <t xml:space="preserve">TOPIC 5  ·  [SU26SWP05]  Manga Creation Workflow &amp; Publishing</t>
  </si>
  <si>
    <t xml:space="preserve">So sánh quy trình làm việc trước/sau khi dùng hệ thống thông qua khảo sát + phỏng vấn</t>
  </si>
  <si>
    <t xml:space="preserve">Nhóm sáng tác manga nghiệp dư/bán chuyên (mangaka + trợ lý) tại Việt Nam</t>
  </si>
  <si>
    <t xml:space="preserve">Hệ thống quản lý workflow kỹ thuật số: phân công task theo vùng trang, giao nhận, phê duyệt online</t>
  </si>
  <si>
    <t xml:space="preserve">Quy trình hiện tại: trao đổi qua Messenger/Zalo, chia sẻ file qua Drive, phản hồi thủ công</t>
  </si>
  <si>
    <t xml:space="preserve">Thời gian chu kỳ hoàn thành 1 chapter (ngày), tỷ lệ giao việc đúng hạn (%), team satisfaction (1–5)</t>
  </si>
  <si>
    <t xml:space="preserve">Đối với các nhóm sáng tác manga nghiệp dư và bán chuyên tại Việt Nam (P), hệ thống quản lý quy trình sáng tác và xuất bản manga kỹ thuật số (I) so với quy trình phối hợp hiện tại qua Messenger/Zalo/Drive (C) có cải thiện hiệu quả phối hợp, giảm thời gian chờ phản hồi và tăng sự hài lòng của nhóm sáng tác không (O)?</t>
  </si>
  <si>
    <t xml:space="preserve">RQ1: Hệ thống có giúp giảm thời gian chờ phản hồi giữa mangaka và trợ lý so với quy trình nhắn tin thủ công không?</t>
  </si>
  <si>
    <t xml:space="preserve">RQ2: Tính năng phân công task theo vùng trang có giúp giảm nhầm lẫn và làm lại công việc không?</t>
  </si>
  <si>
    <t xml:space="preserve">RQ3: Mức độ hài lòng tổng thể của các thành viên nhóm khi dùng hệ thống là bao nhiêu?</t>
  </si>
  <si>
    <t xml:space="preserve">📋 Khảo sát trước/sau (Pre-Post Survey) + 🗣️ Phỏng vấn bán cấu trúc (Semi-structured Interview)</t>
  </si>
  <si>
    <t xml:space="preserve">Google Form, Zoom/Meet để phỏng vấn, Excel để phân tích</t>
  </si>
  <si>
    <t xml:space="preserve">Khảo sát 10–20 người trong các nhóm vẽ manga online + dữ liệu workflow từ prototype</t>
  </si>
  <si>
    <t xml:space="preserve">Không cần AI. Tập trung vào workflow analysis và qualitative research.</t>
  </si>
  <si>
    <t xml:space="preserve">TOPIC 6  ·  [SU26SWP06]  Scientific Journal Publication Trend Tracking</t>
  </si>
  <si>
    <t xml:space="preserve">Dùng API Semantic Scholar/OpenAlex để lấy dữ liệu, vẽ trend chart, sau đó khảo sát giảng viên/nghiên cứu sinh đánh giá</t>
  </si>
  <si>
    <t xml:space="preserve">Giảng viên và nghiên cứu sinh ngành CNTT tại các trường ĐH Việt Nam</t>
  </si>
  <si>
    <t xml:space="preserve">Hệ thống theo dõi xu hướng: dashboard hiển thị publication count theo keyword + năm + journal</t>
  </si>
  <si>
    <t xml:space="preserve">Tìm kiếm thủ công trên Google Scholar, không có visualization xu hướng</t>
  </si>
  <si>
    <t xml:space="preserve">Task completion time (giây), accuracy nhận diện trending topic, user satisfaction (SUS)</t>
  </si>
  <si>
    <t xml:space="preserve">Đối với giảng viên và nghiên cứu sinh cần theo dõi xu hướng nghiên cứu trong lĩnh vực CS (P), hệ thống trực quan hóa xu hướng bài báo dựa trên dữ liệu từ Semantic Scholar API (I) so với tìm kiếm thủ công trên Google Scholar (C) có giúp người dùng tìm kiếm nhanh hơn và xác định được xu hướng mới nổi chính xác hơn không (O)?</t>
  </si>
  <si>
    <t xml:space="preserve">RQ1: Người dùng mất ít thời gian hơn bao nhiêu để xác định top 3 trending topics khi dùng hệ thống so với tìm kiếm thủ công?</t>
  </si>
  <si>
    <t xml:space="preserve">RQ2: Mức độ hữu ích của các loại visualization (line chart theo năm, word cloud, keyword heatmap) được người dùng đánh giá như thế nào?</t>
  </si>
  <si>
    <t xml:space="preserve">RQ3: Barriers nào (data freshness, missing journals, độ chính xác) khiến người dùng chưa tin tưởng hệ thống?</t>
  </si>
  <si>
    <t xml:space="preserve">📊 API Data Collection + 🧑‍💻 Controlled User Study + SUS Survey</t>
  </si>
  <si>
    <t xml:space="preserve">Semantic Scholar API (free), OpenAlex API (free), Python (requests, pandas, matplotlib), Google Form</t>
  </si>
  <si>
    <t xml:space="preserve">Publication data từ API (CS papers 2018–2024) + 10–15 người dùng trong user study</t>
  </si>
  <si>
    <t xml:space="preserve">Gọi REST API, xử lý JSON với Python cơ bản. Không cần ML.</t>
  </si>
  <si>
    <t xml:space="preserve">TOPIC 7  ·  [SU26SWP07]  AI Marketplace – AITasker</t>
  </si>
  <si>
    <t xml:space="preserve">Dùng GPT API để generate job descriptions, rồi nhờ expert đánh giá mù (blind rating)</t>
  </si>
  <si>
    <t xml:space="preserve">Người dùng non-technical (không có background IT) muốn thuê freelancer AI</t>
  </si>
  <si>
    <t xml:space="preserve">AI Job Assistant: người dùng nhập ý tưởng → GPT API bổ sung, làm rõ, chuẩn hóa mô tả dự án</t>
  </si>
  <si>
    <t xml:space="preserve">Mô tả dự án do chính người dùng tự viết, không có gợi ý AI</t>
  </si>
  <si>
    <t xml:space="preserve">Điểm chất lượng mô tả (1–5) theo 3 tiêu chí: Clarity, Completeness, Feasibility – đánh giá bởi 3 IT expert</t>
  </si>
  <si>
    <t xml:space="preserve">Đối với người dùng không có kiến thức kỹ thuật muốn đăng yêu cầu thuê AI expert (P), tính năng AI Job Assistant sử dụng GPT API gợi ý cải thiện mô tả dự án (I) so với mô tả dự án do người dùng tự viết không có hỗ trợ (C) có tạo ra mô tả chất lượng hơn (rõ ràng, đầy đủ, khả thi) khi được expert đánh giá mù không (O)?</t>
  </si>
  <si>
    <t xml:space="preserve">RQ1: Mô tả dự án do AI hỗ trợ có điểm Clarity và Completeness cao hơn đáng kể so với mô tả tự viết không?</t>
  </si>
  <si>
    <t xml:space="preserve">RQ2: Người dùng non-technical có cảm thấy AI Job Assistant dễ dùng và hữu ích không (SUS + perceived usefulness)?</t>
  </si>
  <si>
    <t xml:space="preserve">RQ3: Loại yêu cầu dự án nào (automation, chatbot, data analysis) được AI hỗ trợ cải thiện mô tả nhiều nhất?</t>
  </si>
  <si>
    <t xml:space="preserve">🔀 Blind Comparative Evaluation + 📋 User Study + GPT API Prompting</t>
  </si>
  <si>
    <t xml:space="preserve">OpenAI GPT-4o API, Google Form, blind rating form cho expert, Excel</t>
  </si>
  <si>
    <t xml:space="preserve">20–30 cặp mô tả (tự viết vs. AI-assisted) từ 20–30 người dùng thử nghiệm</t>
  </si>
  <si>
    <t xml:space="preserve">Biết gọi API + thiết kế prompt là đủ. Phân tích bằng Wilcoxon test hoặc t-test.</t>
  </si>
  <si>
    <t xml:space="preserve">TOPIC 8  ·  [SU26SWP08]  Parking Building Management System</t>
  </si>
  <si>
    <t xml:space="preserve">Mô phỏng đơn giản + khảo sát tài xế về trải nghiệm</t>
  </si>
  <si>
    <t xml:space="preserve">Tài xế (xe máy và ô tô) gửi xe tại bãi đỗ xe nhiều tầng tại đô thị</t>
  </si>
  <si>
    <t xml:space="preserve">Phân bổ slot tự động: hệ thống gợi ý chỗ gần lối vào nhất phù hợp loại xe</t>
  </si>
  <si>
    <t xml:space="preserve">Tài xế tự tìm chỗ trống trên bản đồ bãi xe (first-come first-served)</t>
  </si>
  <si>
    <t xml:space="preserve">Thời gian tìm chỗ (giây), tỷ lệ lấp đầy (%), điểm hài lòng tài xế (1–5 Likert)</t>
  </si>
  <si>
    <t xml:space="preserve">Đối với tài xế gửi xe tại bãi đỗ xe nhiều tầng phân loại theo loại phương tiện (P), cơ chế phân bổ slot tự động ưu tiên theo khoảng cách + loại xe (I) so với cơ chế tự chọn chỗ trống tự do (first-come first-served) (C) có giúp giảm thời gian tìm chỗ và tăng sự hài lòng của tài xế không (O)?</t>
  </si>
  <si>
    <t xml:space="preserve">RQ1: Cơ chế phân bổ tự động có giúp giảm thời gian tìm chỗ đỗ trong giờ cao điểm so với tự chọn không?</t>
  </si>
  <si>
    <t xml:space="preserve">RQ2: Tài xế đánh giá tính hữu dụng và dễ sử dụng của tính năng gợi ý slot như thế nào?</t>
  </si>
  <si>
    <t xml:space="preserve">RQ3: Phân khu theo loại phương tiện (xe máy/ô tô riêng biệt) có cải thiện tỷ lệ lấp đầy tổng thể không?</t>
  </si>
  <si>
    <t xml:space="preserve">📊 Discrete-Event Simulation (mô phỏng bãi xe) + 📋 User Satisfaction Survey</t>
  </si>
  <si>
    <t xml:space="preserve">Python SimPy (discrete-event simulation) hoặc Excel mô phỏng đơn giản, Google Form</t>
  </si>
  <si>
    <t xml:space="preserve">Dữ liệu mô phỏng (entry time, vehicle type, dwell time) + khảo sát ≥ 50 tài xế</t>
  </si>
  <si>
    <t xml:space="preserve">SimPy dễ học (3–4 giờ). Hoặc dùng Excel để mô phỏng đơn giản hơn.</t>
  </si>
  <si>
    <t xml:space="preserve">TOPIC 9  ·  [SU26SWP09]  Chatbot Hỏi Đáp Tài Liệu – RAG vs Fine-tuning</t>
  </si>
  <si>
    <t xml:space="preserve">Build RAG pipeline với LangChain + OpenAI API, thử nhiều chunking strategy, đo bằng RAGAS</t>
  </si>
  <si>
    <t xml:space="preserve">Chatbot RAG trả lời câu hỏi từ slide PDF/DOCX môn học tiếng Việt</t>
  </si>
  <si>
    <t xml:space="preserve">Chunking strategies: (a) Fixed-size 256 tokens, (b) Fixed-size 512 tokens, (c) Sentence-based, (d) Paragraph-based</t>
  </si>
  <si>
    <t xml:space="preserve">So sánh lẫn nhau giữa 4 strategies (không có baseline fine-tuning – quá khó)</t>
  </si>
  <si>
    <t xml:space="preserve">RAGAS metrics: Context Recall, Context Precision, Answer Faithfulness, Answer Relevancy</t>
  </si>
  <si>
    <t xml:space="preserve">Đối với chatbot hỗ trợ học tập trả lời câu hỏi từ slide bài giảng PDF tiếng Việt (P), chiến lược chunking nào trong số fixed-size (512 tokens), sentence-based và paragraph-based (I so sánh lẫn nhau) (C) cho độ chính xác retrieval và chất lượng câu trả lời cao nhất (O) khi đánh giá bằng RAGAS framework?</t>
  </si>
  <si>
    <t xml:space="preserve">RQ1: Chunking strategy nào cho Context Recall và Precision cao nhất khi retrieve nội dung từ slide PDF tiếng Việt?</t>
  </si>
  <si>
    <t xml:space="preserve">RQ2: Loại câu hỏi nào (định nghĩa, so sánh, ví dụ, quy trình) mà RAG chatbot trả lời kém nhất, bất kể chunking strategy?</t>
  </si>
  <si>
    <t xml:space="preserve">RQ3: Sinh viên đánh giá chatbot hữu ích và đáng tin cậy ở mức nào khi dùng thực tế trong học tập (survey)?</t>
  </si>
  <si>
    <t xml:space="preserve">🔬 Ablation Study (chunking strategies) + RAGAS Evaluation + 📋 User Survey</t>
  </si>
  <si>
    <t xml:space="preserve">LangChain, OpenAI API (hoặc Gemini API), ChromaDB/FAISS, RAGAS library, Python</t>
  </si>
  <si>
    <t xml:space="preserve">50 câu hỏi + đáp án đúng (ground truth) tự tạo từ tài liệu môn học</t>
  </si>
  <si>
    <t xml:space="preserve">Có thể dùng LangChain template sẵn. Phần khó nhất là tạo ground truth test set (50 Q&amp;A).</t>
  </si>
  <si>
    <t xml:space="preserve">TOPIC 10  ·  [SU26SWP10]  AI Study Hub – Document Management</t>
  </si>
  <si>
    <t xml:space="preserve">Build semantic search đơn giản dùng OpenAI Embeddings, so sánh với Google Drive search qua user study</t>
  </si>
  <si>
    <t xml:space="preserve">Sinh viên ĐH Việt Nam có nhu cầu tìm lại tài liệu học tập đã lưu trữ</t>
  </si>
  <si>
    <t xml:space="preserve">Semantic search: embed câu truy vấn + tài liệu bằng OpenAI/Gemini Embedding API, tìm kiếm bằng cosine similarity</t>
  </si>
  <si>
    <t xml:space="preserve">Keyword search trên Google Drive hoặc tìm kiếm theo tên file thông thường</t>
  </si>
  <si>
    <t xml:space="preserve">Task completion time (giây), precision@5 (tỷ lệ tài liệu relevant trong top 5 kết quả), user satisfaction (SUS)</t>
  </si>
  <si>
    <t xml:space="preserve">Đối với sinh viên tìm kiếm tài liệu học tập được lưu trữ trên cloud (P), chức năng tìm kiếm ngữ nghĩa (semantic search) dựa trên vector embeddings (I) so với tìm kiếm theo tên file/từ khóa trên Google Drive (C) có giúp sinh viên tìm được tài liệu phù hợp nhanh hơn và chính xác hơn không (O)?</t>
  </si>
  <si>
    <t xml:space="preserve">RQ1: Semantic search có giúp sinh viên tìm đúng tài liệu nhanh hơn keyword search không (đo bằng task time)?</t>
  </si>
  <si>
    <t xml:space="preserve">RQ2: Precision@5 của semantic search cao hơn keyword search khi câu truy vấn không chứa đúng từ khóa trong tên file?</t>
  </si>
  <si>
    <t xml:space="preserve">RQ3: Sinh viên đánh giá AI Study Hub dễ dùng hơn Google Drive không (SUS &gt; 68)?</t>
  </si>
  <si>
    <t xml:space="preserve">🧑‍💻 Controlled User Study (within-subjects design) + 📊 Precision@K Measurement + SUS</t>
  </si>
  <si>
    <t xml:space="preserve">OpenAI Embedding API hoặc Gemini Embedding, ChromaDB, Python Flask, Google Form (SUS)</t>
  </si>
  <si>
    <t xml:space="preserve">Bộ 50–100 tài liệu học tập + 20 test queries với ground-truth relevant docs</t>
  </si>
  <si>
    <t xml:space="preserve">Embedding API rất dễ gọi (~10 dòng code). Phần thiết kế user study quan trọng hơn.</t>
  </si>
  <si>
    <t xml:space="preserve">TOPIC 11  ·  [SU26SWP11]  Hệ thống Quản lý CLB – FPTU</t>
  </si>
  <si>
    <t xml:space="preserve">Khảo sát BĐH cũ và mới về quá trình bàn giao, đánh giá satisfaction trước/sau khi có hệ thống</t>
  </si>
  <si>
    <t xml:space="preserve">Ban Điều Hành CLB sinh viên (mới nhậm chức) và thành viên CLB tại FPT University TP.HCM</t>
  </si>
  <si>
    <t xml:space="preserve">Hệ thống quản lý CLB: knowledge base tập trung (lịch sử, quy chế, sự kiện) + chatbot tra cứu</t>
  </si>
  <si>
    <t xml:space="preserve">Quy trình bàn giao hiện tại: file Word/Excel qua Drive, hỏi thành viên cũ qua Zalo/Facebook</t>
  </si>
  <si>
    <t xml:space="preserve">Thời gian tìm thông tin (phút), knowledge transfer score (self-assessed 1–5), user satisfaction (SUS)</t>
  </si>
  <si>
    <t xml:space="preserve">Đối với Ban Điều Hành câu lạc bộ sinh viên tại FPTU khi bàn giao thế hệ (P), hệ thống quản lý CLB tập trung hóa dữ liệu tích hợp chatbot AI hỗ trợ tra cứu (I) so với quy trình bàn giao hiện tại qua tài liệu Word/drive và hỏi trực tiếp người cũ (C) có cải thiện tốc độ tìm kiếm thông tin và chất lượng bàn giao kiến thức cho thế hệ mới không (O)?</t>
  </si>
  <si>
    <t xml:space="preserve">RQ1: BĐH mới mất ít thời gian hơn bao nhiêu để tìm thông tin quy chế/lịch sử khi dùng hệ thống so với hỏi người cũ?</t>
  </si>
  <si>
    <t xml:space="preserve">RQ2: Thành viên CLB đánh giá mức độ đầy đủ và tin cậy của thông tin trên hệ thống ở mức nào?</t>
  </si>
  <si>
    <t xml:space="preserve">RQ3: Rào cản nào (thói quen dùng Zalo, lo ngại bảo mật, thiếu cập nhật) khiến thành viên chưa muốn chuyển sang hệ thống?</t>
  </si>
  <si>
    <t xml:space="preserve">📋 Pre-Post Survey + 🗣️ Semi-structured Interview + ⏱️ Task Time Measurement</t>
  </si>
  <si>
    <t xml:space="preserve">Google Form (SUS + custom questions), Zoom để phỏng vấn, Excel phân tích</t>
  </si>
  <si>
    <t xml:space="preserve">10–20 BĐH và thành viên CLB tại FPTU (nhiều CLB khác nhau)</t>
  </si>
  <si>
    <t xml:space="preserve">Dễ nhất về technical. Tập trung vào research design và qualitative analysis.</t>
  </si>
</sst>
</file>

<file path=xl/styles.xml><?xml version="1.0" encoding="utf-8"?>
<styleSheet xmlns="http://schemas.openxmlformats.org/spreadsheetml/2006/main">
  <numFmts count="1">
    <numFmt numFmtId="164" formatCode="General"/>
  </numFmts>
  <fonts count="28">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b val="true"/>
      <sz val="10"/>
      <color rgb="FFFFFFFF"/>
      <name val="Arial"/>
      <family val="0"/>
      <charset val="1"/>
    </font>
    <font>
      <sz val="10"/>
      <color rgb="FF000000"/>
      <name val="Arial"/>
      <family val="0"/>
      <charset val="1"/>
    </font>
    <font>
      <b val="true"/>
      <sz val="10"/>
      <color rgb="FF1F3864"/>
      <name val="Arial"/>
      <family val="0"/>
      <charset val="1"/>
    </font>
    <font>
      <b val="true"/>
      <sz val="11"/>
      <color rgb="FFFFFFFF"/>
      <name val="Arial"/>
      <family val="0"/>
      <charset val="1"/>
    </font>
    <font>
      <sz val="10"/>
      <color rgb="FF1F3864"/>
      <name val="Arial"/>
      <family val="0"/>
      <charset val="1"/>
    </font>
    <font>
      <sz val="10"/>
      <color rgb="FFC55A11"/>
      <name val="Arial"/>
      <family val="0"/>
      <charset val="1"/>
    </font>
    <font>
      <b val="true"/>
      <sz val="10"/>
      <color rgb="FFC55A11"/>
      <name val="Arial"/>
      <family val="0"/>
      <charset val="1"/>
    </font>
    <font>
      <b val="true"/>
      <sz val="13"/>
      <color rgb="FFFFFFFF"/>
      <name val="Arial"/>
      <family val="0"/>
      <charset val="1"/>
    </font>
    <font>
      <i val="true"/>
      <sz val="9"/>
      <color rgb="FF595959"/>
      <name val="Arial"/>
      <family val="0"/>
      <charset val="1"/>
    </font>
    <font>
      <sz val="9"/>
      <color rgb="FFFFFFFF"/>
      <name val="Arial"/>
      <family val="0"/>
      <charset val="1"/>
    </font>
    <font>
      <b val="true"/>
      <sz val="12"/>
      <color rgb="FF1F3864"/>
      <name val="Arial"/>
      <family val="0"/>
      <charset val="1"/>
    </font>
    <font>
      <sz val="12"/>
      <color rgb="FFC55A11"/>
      <name val="Arial"/>
      <family val="0"/>
      <charset val="1"/>
    </font>
    <font>
      <sz val="11"/>
      <color rgb="FFC55A11"/>
      <name val="Arial"/>
      <family val="0"/>
      <charset val="1"/>
    </font>
    <font>
      <b val="true"/>
      <sz val="11"/>
      <color rgb="FFFF0000"/>
      <name val="Arial"/>
      <family val="0"/>
      <charset val="1"/>
    </font>
    <font>
      <b val="true"/>
      <sz val="11"/>
      <color rgb="FF375623"/>
      <name val="Arial"/>
      <family val="0"/>
      <charset val="1"/>
    </font>
    <font>
      <sz val="9"/>
      <color rgb="FF000000"/>
      <name val="Arial"/>
      <family val="0"/>
      <charset val="1"/>
    </font>
    <font>
      <i val="true"/>
      <sz val="9"/>
      <color rgb="FF000000"/>
      <name val="Arial"/>
      <family val="0"/>
      <charset val="1"/>
    </font>
    <font>
      <b val="true"/>
      <i val="true"/>
      <sz val="10"/>
      <color rgb="FF1F3864"/>
      <name val="Arial"/>
      <family val="0"/>
      <charset val="1"/>
    </font>
    <font>
      <sz val="9"/>
      <color rgb="FF1F3864"/>
      <name val="Arial"/>
      <family val="0"/>
      <charset val="1"/>
    </font>
    <font>
      <b val="true"/>
      <sz val="9"/>
      <color rgb="FFFFFFFF"/>
      <name val="Arial"/>
      <family val="0"/>
      <charset val="1"/>
    </font>
    <font>
      <i val="true"/>
      <sz val="9"/>
      <color rgb="FF1F4E79"/>
      <name val="Arial"/>
      <family val="0"/>
      <charset val="1"/>
    </font>
    <font>
      <u val="single"/>
      <sz val="9"/>
      <color rgb="FF0563C1"/>
      <name val="Arial"/>
      <family val="0"/>
      <charset val="1"/>
    </font>
  </fonts>
  <fills count="14">
    <fill>
      <patternFill patternType="none"/>
    </fill>
    <fill>
      <patternFill patternType="gray125"/>
    </fill>
    <fill>
      <patternFill patternType="solid">
        <fgColor rgb="FF1F3864"/>
        <bgColor rgb="FF1F4E79"/>
      </patternFill>
    </fill>
    <fill>
      <patternFill patternType="solid">
        <fgColor rgb="FF2E75B6"/>
        <bgColor rgb="FF0563C1"/>
      </patternFill>
    </fill>
    <fill>
      <patternFill patternType="solid">
        <fgColor rgb="FFFFFFFF"/>
        <bgColor rgb="FFF2F2F2"/>
      </patternFill>
    </fill>
    <fill>
      <patternFill patternType="solid">
        <fgColor rgb="FFE2EFDA"/>
        <bgColor rgb="FFF2F2F2"/>
      </patternFill>
    </fill>
    <fill>
      <patternFill patternType="solid">
        <fgColor rgb="FFFFF2CC"/>
        <bgColor rgb="FFFCE4D6"/>
      </patternFill>
    </fill>
    <fill>
      <patternFill patternType="solid">
        <fgColor rgb="FFF2F2F2"/>
        <bgColor rgb="FFFFE7E7"/>
      </patternFill>
    </fill>
    <fill>
      <patternFill patternType="solid">
        <fgColor rgb="FFC55A11"/>
        <bgColor rgb="FF993300"/>
      </patternFill>
    </fill>
    <fill>
      <patternFill patternType="solid">
        <fgColor rgb="FFBDD7EE"/>
        <bgColor rgb="FF99CCFF"/>
      </patternFill>
    </fill>
    <fill>
      <patternFill patternType="solid">
        <fgColor rgb="FFFFE7E7"/>
        <bgColor rgb="FFFCE4D6"/>
      </patternFill>
    </fill>
    <fill>
      <patternFill patternType="solid">
        <fgColor rgb="FF1F4E79"/>
        <bgColor rgb="FF1F3864"/>
      </patternFill>
    </fill>
    <fill>
      <patternFill patternType="solid">
        <fgColor rgb="FFFCE4D6"/>
        <bgColor rgb="FFFFE7E7"/>
      </patternFill>
    </fill>
    <fill>
      <patternFill patternType="solid">
        <fgColor rgb="FFEAD7F7"/>
        <bgColor rgb="FFFFE7E7"/>
      </patternFill>
    </fill>
  </fills>
  <borders count="6">
    <border diagonalUp="false" diagonalDown="false">
      <left/>
      <right/>
      <top/>
      <bottom/>
      <diagonal/>
    </border>
    <border diagonalUp="false" diagonalDown="false">
      <left style="thin">
        <color rgb="FF1F3864"/>
      </left>
      <right style="thin">
        <color rgb="FF1F3864"/>
      </right>
      <top style="thin">
        <color rgb="FF1F3864"/>
      </top>
      <bottom style="thin">
        <color rgb="FF1F3864"/>
      </bottom>
      <diagonal/>
    </border>
    <border diagonalUp="false" diagonalDown="false">
      <left style="thin">
        <color rgb="FF2E75B6"/>
      </left>
      <right style="thin">
        <color rgb="FF2E75B6"/>
      </right>
      <top style="thin">
        <color rgb="FF2E75B6"/>
      </top>
      <bottom style="thin">
        <color rgb="FF2E75B6"/>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C55A11"/>
      </left>
      <right style="thin">
        <color rgb="FFC55A11"/>
      </right>
      <top style="thin">
        <color rgb="FFC55A11"/>
      </top>
      <bottom style="thin">
        <color rgb="FFC55A11"/>
      </bottom>
      <diagonal/>
    </border>
    <border diagonalUp="false" diagonalDown="false">
      <left style="thin">
        <color rgb="FF1F4E79"/>
      </left>
      <right style="thin">
        <color rgb="FF1F4E79"/>
      </right>
      <top style="thin">
        <color rgb="FF1F4E79"/>
      </top>
      <bottom style="thin">
        <color rgb="FF1F4E7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7" fillId="5" borderId="3" xfId="0" applyFont="true" applyBorder="true" applyAlignment="true" applyProtection="false">
      <alignment horizontal="left" vertical="center" textRotation="0" wrapText="true" indent="0" shrinkToFit="false"/>
      <protection locked="true" hidden="false"/>
    </xf>
    <xf numFmtId="164" fontId="8" fillId="5" borderId="3" xfId="0" applyFont="true" applyBorder="true" applyAlignment="true" applyProtection="false">
      <alignment horizontal="left" vertical="center" textRotation="0" wrapText="true" indent="0" shrinkToFit="false"/>
      <protection locked="true" hidden="false"/>
    </xf>
    <xf numFmtId="164" fontId="7"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7" fillId="6" borderId="3" xfId="0" applyFont="true" applyBorder="true" applyAlignment="true" applyProtection="false">
      <alignment horizontal="left" vertical="center" textRotation="0" wrapText="true" indent="0" shrinkToFit="false"/>
      <protection locked="true" hidden="false"/>
    </xf>
    <xf numFmtId="164" fontId="12" fillId="6" borderId="3" xfId="0" applyFont="true" applyBorder="true" applyAlignment="true" applyProtection="false">
      <alignment horizontal="left" vertical="center" textRotation="0" wrapText="true" indent="0" shrinkToFit="false"/>
      <protection locked="true" hidden="false"/>
    </xf>
    <xf numFmtId="164" fontId="10" fillId="7" borderId="3" xfId="0" applyFont="true" applyBorder="true" applyAlignment="true" applyProtection="false">
      <alignment horizontal="left" vertical="center" textRotation="0" wrapText="true" indent="0" shrinkToFit="false"/>
      <protection locked="true" hidden="false"/>
    </xf>
    <xf numFmtId="164" fontId="7" fillId="7" borderId="3" xfId="0" applyFont="true" applyBorder="true" applyAlignment="true" applyProtection="false">
      <alignment horizontal="left" vertical="center" textRotation="0" wrapText="true" indent="0" shrinkToFit="false"/>
      <protection locked="true" hidden="false"/>
    </xf>
    <xf numFmtId="164" fontId="10" fillId="4" borderId="3" xfId="0" applyFont="true" applyBorder="true" applyAlignment="true" applyProtection="false">
      <alignment horizontal="left"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5" fillId="8" borderId="4" xfId="0" applyFont="true" applyBorder="true" applyAlignment="true" applyProtection="false">
      <alignment horizontal="center" vertical="center" textRotation="0" wrapText="true" indent="0" shrinkToFit="false"/>
      <protection locked="true" hidden="false"/>
    </xf>
    <xf numFmtId="164" fontId="14" fillId="7" borderId="3" xfId="0" applyFont="true" applyBorder="true" applyAlignment="true" applyProtection="false">
      <alignment horizontal="left" vertical="center" textRotation="0" wrapText="true" indent="0" shrinkToFit="false"/>
      <protection locked="true" hidden="false"/>
    </xf>
    <xf numFmtId="164" fontId="15" fillId="3" borderId="2" xfId="0" applyFont="true" applyBorder="true" applyAlignment="true" applyProtection="false">
      <alignment horizontal="center" vertical="center" textRotation="0" wrapText="true" indent="0" shrinkToFit="false"/>
      <protection locked="true" hidden="false"/>
    </xf>
    <xf numFmtId="164" fontId="16" fillId="9" borderId="3" xfId="0" applyFont="true" applyBorder="true" applyAlignment="true" applyProtection="false">
      <alignment horizontal="left" vertical="center" textRotation="0" wrapText="true" indent="0" shrinkToFit="false"/>
      <protection locked="true" hidden="false"/>
    </xf>
    <xf numFmtId="164" fontId="8" fillId="9" borderId="3" xfId="0" applyFont="true" applyBorder="true" applyAlignment="true" applyProtection="false">
      <alignment horizontal="left" vertical="center" textRotation="0" wrapText="true" indent="0" shrinkToFit="false"/>
      <protection locked="true" hidden="false"/>
    </xf>
    <xf numFmtId="164" fontId="17" fillId="6" borderId="3" xfId="0" applyFont="true" applyBorder="true" applyAlignment="true" applyProtection="false">
      <alignment horizontal="left" vertical="center" textRotation="0" wrapText="true" indent="0" shrinkToFit="false"/>
      <protection locked="true" hidden="false"/>
    </xf>
    <xf numFmtId="164" fontId="18" fillId="6" borderId="3" xfId="0" applyFont="true" applyBorder="true" applyAlignment="true" applyProtection="false">
      <alignment horizontal="left" vertical="center" textRotation="0" wrapText="true" indent="0" shrinkToFit="false"/>
      <protection locked="true" hidden="false"/>
    </xf>
    <xf numFmtId="164" fontId="19" fillId="10" borderId="3" xfId="0" applyFont="true" applyBorder="true" applyAlignment="true" applyProtection="false">
      <alignment horizontal="left" vertical="center" textRotation="0" wrapText="true" indent="0" shrinkToFit="false"/>
      <protection locked="true" hidden="false"/>
    </xf>
    <xf numFmtId="164" fontId="20" fillId="5" borderId="3" xfId="0" applyFont="true" applyBorder="true" applyAlignment="true" applyProtection="false">
      <alignment horizontal="left" vertical="center" textRotation="0" wrapText="true" indent="0" shrinkToFit="false"/>
      <protection locked="true" hidden="false"/>
    </xf>
    <xf numFmtId="164" fontId="10" fillId="9" borderId="3" xfId="0" applyFont="true" applyBorder="true" applyAlignment="true" applyProtection="false">
      <alignment horizontal="left" vertical="center" textRotation="0" wrapText="true" indent="0" shrinkToFit="false"/>
      <protection locked="true" hidden="false"/>
    </xf>
    <xf numFmtId="164" fontId="10" fillId="6" borderId="3" xfId="0" applyFont="true" applyBorder="true" applyAlignment="true" applyProtection="false">
      <alignment horizontal="left" vertical="center" textRotation="0" wrapText="true" indent="0" shrinkToFit="false"/>
      <protection locked="true" hidden="false"/>
    </xf>
    <xf numFmtId="164" fontId="15" fillId="11" borderId="5" xfId="0" applyFont="true" applyBorder="true" applyAlignment="true" applyProtection="false">
      <alignment horizontal="center" vertical="center" textRotation="0" wrapText="true" indent="0" shrinkToFit="false"/>
      <protection locked="true" hidden="false"/>
    </xf>
    <xf numFmtId="164" fontId="21" fillId="5" borderId="3" xfId="0" applyFont="true" applyBorder="true" applyAlignment="true" applyProtection="false">
      <alignment horizontal="left" vertical="center" textRotation="0" wrapText="true" indent="0" shrinkToFit="false"/>
      <protection locked="true" hidden="false"/>
    </xf>
    <xf numFmtId="164" fontId="21" fillId="4" borderId="3" xfId="0" applyFont="true" applyBorder="true" applyAlignment="true" applyProtection="false">
      <alignment horizontal="left" vertical="center" textRotation="0" wrapText="true" indent="0" shrinkToFit="false"/>
      <protection locked="true" hidden="false"/>
    </xf>
    <xf numFmtId="164" fontId="22" fillId="5"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7" fillId="12" borderId="3" xfId="0" applyFont="true" applyBorder="true" applyAlignment="true" applyProtection="false">
      <alignment horizontal="left" vertical="center" textRotation="0" wrapText="true" indent="0" shrinkToFit="false"/>
      <protection locked="true" hidden="false"/>
    </xf>
    <xf numFmtId="164" fontId="7" fillId="9" borderId="3"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23" fillId="6" borderId="3" xfId="0" applyFont="true" applyBorder="true" applyAlignment="true" applyProtection="false">
      <alignment horizontal="left" vertical="center" textRotation="0" wrapText="true" indent="0" shrinkToFit="false"/>
      <protection locked="true" hidden="false"/>
    </xf>
    <xf numFmtId="164" fontId="7" fillId="3" borderId="3" xfId="0" applyFont="true" applyBorder="true" applyAlignment="true" applyProtection="false">
      <alignment horizontal="left" vertical="center" textRotation="0" wrapText="true" indent="0" shrinkToFit="false"/>
      <protection locked="true" hidden="false"/>
    </xf>
    <xf numFmtId="164" fontId="24" fillId="5" borderId="3" xfId="0" applyFont="true" applyBorder="true" applyAlignment="true" applyProtection="false">
      <alignment horizontal="left" vertical="center" textRotation="0" wrapText="true" indent="0" shrinkToFit="false"/>
      <protection locked="true" hidden="false"/>
    </xf>
    <xf numFmtId="164" fontId="25" fillId="11" borderId="5" xfId="0" applyFont="true" applyBorder="true" applyAlignment="true" applyProtection="false">
      <alignment horizontal="center" vertical="center" textRotation="0" wrapText="true" indent="0" shrinkToFit="false"/>
      <protection locked="true" hidden="false"/>
    </xf>
    <xf numFmtId="164" fontId="26" fillId="5" borderId="3" xfId="0" applyFont="true" applyBorder="true" applyAlignment="true" applyProtection="false">
      <alignment horizontal="left" vertical="center" textRotation="0" wrapText="true" indent="0" shrinkToFit="false"/>
      <protection locked="true" hidden="false"/>
    </xf>
    <xf numFmtId="164" fontId="27" fillId="6" borderId="3" xfId="0" applyFont="true" applyBorder="true" applyAlignment="true" applyProtection="false">
      <alignment horizontal="left" vertical="center" textRotation="0" wrapText="true" indent="0" shrinkToFit="false"/>
      <protection locked="true" hidden="false"/>
    </xf>
    <xf numFmtId="164" fontId="27" fillId="4" borderId="3" xfId="0" applyFont="true" applyBorder="true" applyAlignment="true" applyProtection="false">
      <alignment horizontal="left" vertical="center" textRotation="0" wrapText="true" indent="0" shrinkToFit="false"/>
      <protection locked="true" hidden="false"/>
    </xf>
    <xf numFmtId="164" fontId="22" fillId="9" borderId="3" xfId="0" applyFont="true" applyBorder="true" applyAlignment="true" applyProtection="false">
      <alignment horizontal="left" vertical="center" textRotation="0" wrapText="true" indent="0" shrinkToFit="false"/>
      <protection locked="true" hidden="false"/>
    </xf>
    <xf numFmtId="164" fontId="24" fillId="9" borderId="3" xfId="0" applyFont="true" applyBorder="true" applyAlignment="true" applyProtection="false">
      <alignment horizontal="left" vertical="center" textRotation="0" wrapText="true" indent="0" shrinkToFit="false"/>
      <protection locked="true" hidden="false"/>
    </xf>
    <xf numFmtId="164" fontId="26" fillId="9" borderId="3" xfId="0" applyFont="true" applyBorder="true" applyAlignment="true" applyProtection="false">
      <alignment horizontal="left" vertical="center" textRotation="0" wrapText="true" indent="0" shrinkToFit="false"/>
      <protection locked="true" hidden="false"/>
    </xf>
    <xf numFmtId="164" fontId="22" fillId="12" borderId="3" xfId="0" applyFont="true" applyBorder="true" applyAlignment="true" applyProtection="false">
      <alignment horizontal="left" vertical="center" textRotation="0" wrapText="true" indent="0" shrinkToFit="false"/>
      <protection locked="true" hidden="false"/>
    </xf>
    <xf numFmtId="164" fontId="24" fillId="12" borderId="3" xfId="0" applyFont="true" applyBorder="true" applyAlignment="true" applyProtection="false">
      <alignment horizontal="left" vertical="center" textRotation="0" wrapText="true" indent="0" shrinkToFit="false"/>
      <protection locked="true" hidden="false"/>
    </xf>
    <xf numFmtId="164" fontId="26" fillId="12" borderId="3" xfId="0" applyFont="true" applyBorder="true" applyAlignment="true" applyProtection="false">
      <alignment horizontal="left" vertical="center" textRotation="0" wrapText="true" indent="0" shrinkToFit="false"/>
      <protection locked="true" hidden="false"/>
    </xf>
    <xf numFmtId="164" fontId="8" fillId="13" borderId="3" xfId="0" applyFont="true" applyBorder="true" applyAlignment="true" applyProtection="false">
      <alignment horizontal="left" vertical="center" textRotation="0" wrapText="true" indent="0" shrinkToFit="false"/>
      <protection locked="true" hidden="false"/>
    </xf>
    <xf numFmtId="164" fontId="22" fillId="13" borderId="3" xfId="0" applyFont="true" applyBorder="true" applyAlignment="true" applyProtection="false">
      <alignment horizontal="left" vertical="center" textRotation="0" wrapText="true" indent="0" shrinkToFit="false"/>
      <protection locked="true" hidden="false"/>
    </xf>
    <xf numFmtId="164" fontId="7" fillId="13" borderId="3" xfId="0" applyFont="true" applyBorder="true" applyAlignment="true" applyProtection="false">
      <alignment horizontal="left" vertical="center" textRotation="0" wrapText="true" indent="0" shrinkToFit="false"/>
      <protection locked="true" hidden="false"/>
    </xf>
    <xf numFmtId="164" fontId="24" fillId="13" borderId="3" xfId="0" applyFont="true" applyBorder="true" applyAlignment="true" applyProtection="false">
      <alignment horizontal="left" vertical="center" textRotation="0" wrapText="true" indent="0" shrinkToFit="false"/>
      <protection locked="true" hidden="false"/>
    </xf>
    <xf numFmtId="164" fontId="26" fillId="13" borderId="3"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D7F7"/>
      <rgbColor rgb="FF808080"/>
      <rgbColor rgb="FF9999FF"/>
      <rgbColor rgb="FF7030A0"/>
      <rgbColor rgb="FFFFF2CC"/>
      <rgbColor rgb="FFF2F2F2"/>
      <rgbColor rgb="FF660066"/>
      <rgbColor rgb="FFFF8080"/>
      <rgbColor rgb="FF0563C1"/>
      <rgbColor rgb="FFBDD7EE"/>
      <rgbColor rgb="FF000080"/>
      <rgbColor rgb="FFFF00FF"/>
      <rgbColor rgb="FFFFFF00"/>
      <rgbColor rgb="FF00FFFF"/>
      <rgbColor rgb="FF800080"/>
      <rgbColor rgb="FF800000"/>
      <rgbColor rgb="FF008080"/>
      <rgbColor rgb="FF0000FF"/>
      <rgbColor rgb="FF00B0F0"/>
      <rgbColor rgb="FFCCFFFF"/>
      <rgbColor rgb="FFE2EFDA"/>
      <rgbColor rgb="FFFFE7E7"/>
      <rgbColor rgb="FF99CCFF"/>
      <rgbColor rgb="FFFF99CC"/>
      <rgbColor rgb="FFCC99FF"/>
      <rgbColor rgb="FFFCE4D6"/>
      <rgbColor rgb="FF2E75B6"/>
      <rgbColor rgb="FF33CCCC"/>
      <rgbColor rgb="FF99CC00"/>
      <rgbColor rgb="FFFFCC00"/>
      <rgbColor rgb="FFFF9900"/>
      <rgbColor rgb="FFC55A11"/>
      <rgbColor rgb="FF595959"/>
      <rgbColor rgb="FFAAAAAA"/>
      <rgbColor rgb="FF1F3864"/>
      <rgbColor rgb="FF70AD47"/>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12" activePane="bottomRight" state="frozen"/>
      <selection pane="topLeft" activeCell="A1" activeCellId="0" sqref="A1"/>
      <selection pane="topRight" activeCell="B1" activeCellId="0" sqref="B1"/>
      <selection pane="bottomLeft" activeCell="A12" activeCellId="0" sqref="A12"/>
      <selection pane="bottomRight" activeCell="D11" activeCellId="0" sqref="D11"/>
    </sheetView>
  </sheetViews>
  <sheetFormatPr defaultColWidth="8.3046875" defaultRowHeight="15" customHeight="false"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32"/>
    <col collapsed="false" customWidth="true" hidden="false" outlineLevel="0" max="4" min="4" style="0" width="44"/>
    <col collapsed="false" customWidth="true" hidden="false" outlineLevel="0" max="5" min="5" style="0" width="18"/>
    <col collapsed="false" customWidth="true" hidden="false" outlineLevel="0" max="6" min="6" style="0" width="14"/>
  </cols>
  <sheetData>
    <row r="1" customFormat="false" ht="37.5" hidden="false" customHeight="true" outlineLevel="0" collapsed="false">
      <c r="A1" s="1" t="s">
        <v>0</v>
      </c>
      <c r="B1" s="1"/>
      <c r="C1" s="1"/>
      <c r="D1" s="1"/>
      <c r="E1" s="1"/>
      <c r="F1" s="1"/>
    </row>
    <row r="2" customFormat="false" ht="30" hidden="false" customHeight="true" outlineLevel="0" collapsed="false">
      <c r="A2" s="2" t="s">
        <v>1</v>
      </c>
      <c r="B2" s="2"/>
      <c r="C2" s="2"/>
      <c r="D2" s="2"/>
      <c r="E2" s="2"/>
      <c r="F2" s="2"/>
    </row>
    <row r="3" customFormat="false" ht="7.5" hidden="false" customHeight="true" outlineLevel="0" collapsed="false">
      <c r="A3" s="3"/>
      <c r="B3" s="3"/>
      <c r="C3" s="3"/>
      <c r="D3" s="3"/>
      <c r="E3" s="3"/>
      <c r="F3" s="3"/>
    </row>
    <row r="4" customFormat="false" ht="21.75" hidden="false" customHeight="true" outlineLevel="0" collapsed="false">
      <c r="A4" s="4" t="s">
        <v>2</v>
      </c>
      <c r="B4" s="4" t="s">
        <v>3</v>
      </c>
      <c r="C4" s="4"/>
      <c r="D4" s="4" t="s">
        <v>4</v>
      </c>
      <c r="E4" s="4" t="s">
        <v>5</v>
      </c>
      <c r="F4" s="4" t="s">
        <v>6</v>
      </c>
    </row>
    <row r="5" customFormat="false" ht="27.75" hidden="false" customHeight="true" outlineLevel="0" collapsed="false">
      <c r="A5" s="5" t="n">
        <v>1</v>
      </c>
      <c r="B5" s="6" t="s">
        <v>7</v>
      </c>
      <c r="C5" s="6"/>
      <c r="D5" s="5" t="s">
        <v>8</v>
      </c>
      <c r="E5" s="5" t="s">
        <v>9</v>
      </c>
      <c r="F5" s="5" t="s">
        <v>10</v>
      </c>
    </row>
    <row r="6" customFormat="false" ht="27.75" hidden="false" customHeight="true" outlineLevel="0" collapsed="false">
      <c r="A6" s="7" t="n">
        <v>2</v>
      </c>
      <c r="B6" s="8" t="s">
        <v>11</v>
      </c>
      <c r="C6" s="8"/>
      <c r="D6" s="7" t="s">
        <v>12</v>
      </c>
      <c r="E6" s="7" t="s">
        <v>13</v>
      </c>
      <c r="F6" s="7" t="s">
        <v>14</v>
      </c>
    </row>
    <row r="7" customFormat="false" ht="27.75" hidden="false" customHeight="true" outlineLevel="0" collapsed="false">
      <c r="A7" s="5" t="n">
        <v>3</v>
      </c>
      <c r="B7" s="6" t="s">
        <v>15</v>
      </c>
      <c r="C7" s="6"/>
      <c r="D7" s="5" t="s">
        <v>16</v>
      </c>
      <c r="E7" s="5" t="s">
        <v>17</v>
      </c>
      <c r="F7" s="5" t="s">
        <v>18</v>
      </c>
    </row>
    <row r="8" customFormat="false" ht="27.75" hidden="false" customHeight="true" outlineLevel="0" collapsed="false">
      <c r="A8" s="7" t="n">
        <v>4</v>
      </c>
      <c r="B8" s="8" t="s">
        <v>19</v>
      </c>
      <c r="C8" s="8"/>
      <c r="D8" s="7" t="s">
        <v>20</v>
      </c>
      <c r="E8" s="7" t="s">
        <v>21</v>
      </c>
      <c r="F8" s="7" t="s">
        <v>22</v>
      </c>
    </row>
    <row r="9" customFormat="false" ht="27.75" hidden="false" customHeight="true" outlineLevel="0" collapsed="false">
      <c r="A9" s="5" t="n">
        <v>5</v>
      </c>
      <c r="B9" s="6" t="s">
        <v>23</v>
      </c>
      <c r="C9" s="6"/>
      <c r="D9" s="5" t="s">
        <v>24</v>
      </c>
      <c r="E9" s="5" t="s">
        <v>25</v>
      </c>
      <c r="F9" s="5" t="s">
        <v>26</v>
      </c>
    </row>
    <row r="10" customFormat="false" ht="27.75" hidden="false" customHeight="true" outlineLevel="0" collapsed="false">
      <c r="A10" s="7" t="n">
        <v>6</v>
      </c>
      <c r="B10" s="8" t="s">
        <v>27</v>
      </c>
      <c r="C10" s="8"/>
      <c r="D10" s="7" t="s">
        <v>28</v>
      </c>
      <c r="E10" s="7" t="s">
        <v>29</v>
      </c>
      <c r="F10" s="7" t="s">
        <v>30</v>
      </c>
    </row>
    <row r="11" customFormat="false" ht="27.75" hidden="false" customHeight="true" outlineLevel="0" collapsed="false">
      <c r="A11" s="5" t="n">
        <v>7</v>
      </c>
      <c r="B11" s="6" t="s">
        <v>31</v>
      </c>
      <c r="C11" s="6"/>
      <c r="D11" s="5" t="s">
        <v>32</v>
      </c>
      <c r="E11" s="5" t="s">
        <v>33</v>
      </c>
      <c r="F11" s="5" t="s">
        <v>33</v>
      </c>
    </row>
    <row r="13" customFormat="false" ht="9.75" hidden="false" customHeight="true" outlineLevel="0" collapsed="false">
      <c r="A13" s="3"/>
      <c r="B13" s="3"/>
      <c r="C13" s="3"/>
      <c r="D13" s="3"/>
      <c r="E13" s="3"/>
      <c r="F13" s="3"/>
    </row>
    <row r="14" customFormat="false" ht="25.5" hidden="false" customHeight="true" outlineLevel="0" collapsed="false">
      <c r="A14" s="9" t="s">
        <v>34</v>
      </c>
      <c r="B14" s="9"/>
      <c r="C14" s="9"/>
      <c r="D14" s="9"/>
      <c r="E14" s="9"/>
      <c r="F14" s="9"/>
    </row>
    <row r="15" customFormat="false" ht="19.5" hidden="false" customHeight="true" outlineLevel="0" collapsed="false">
      <c r="A15" s="4" t="s">
        <v>35</v>
      </c>
      <c r="B15" s="4" t="s">
        <v>36</v>
      </c>
      <c r="C15" s="4"/>
      <c r="D15" s="4" t="s">
        <v>37</v>
      </c>
      <c r="E15" s="4" t="s">
        <v>38</v>
      </c>
      <c r="F15" s="4"/>
    </row>
    <row r="16" customFormat="false" ht="25.5" hidden="false" customHeight="true" outlineLevel="0" collapsed="false">
      <c r="A16" s="10" t="s">
        <v>39</v>
      </c>
      <c r="B16" s="6" t="s">
        <v>40</v>
      </c>
      <c r="C16" s="6"/>
      <c r="D16" s="5" t="s">
        <v>41</v>
      </c>
      <c r="E16" s="6" t="s">
        <v>42</v>
      </c>
      <c r="F16" s="6"/>
    </row>
    <row r="17" customFormat="false" ht="25.5" hidden="false" customHeight="true" outlineLevel="0" collapsed="false">
      <c r="A17" s="10" t="s">
        <v>43</v>
      </c>
      <c r="B17" s="6" t="s">
        <v>44</v>
      </c>
      <c r="C17" s="6"/>
      <c r="D17" s="5" t="s">
        <v>45</v>
      </c>
      <c r="E17" s="6" t="s">
        <v>42</v>
      </c>
      <c r="F17" s="6"/>
    </row>
    <row r="18" customFormat="false" ht="25.5" hidden="false" customHeight="true" outlineLevel="0" collapsed="false">
      <c r="A18" s="10" t="s">
        <v>46</v>
      </c>
      <c r="B18" s="6" t="s">
        <v>47</v>
      </c>
      <c r="C18" s="6"/>
      <c r="D18" s="5" t="s">
        <v>48</v>
      </c>
      <c r="E18" s="6" t="s">
        <v>49</v>
      </c>
      <c r="F18" s="6"/>
    </row>
    <row r="19" customFormat="false" ht="25.5" hidden="false" customHeight="true" outlineLevel="0" collapsed="false">
      <c r="A19" s="11" t="s">
        <v>50</v>
      </c>
      <c r="B19" s="12" t="s">
        <v>51</v>
      </c>
      <c r="C19" s="12"/>
      <c r="D19" s="13" t="s">
        <v>52</v>
      </c>
      <c r="E19" s="14" t="s">
        <v>53</v>
      </c>
      <c r="F19" s="14"/>
    </row>
    <row r="20" customFormat="false" ht="25.5" hidden="false" customHeight="true" outlineLevel="0" collapsed="false">
      <c r="A20" s="11" t="s">
        <v>54</v>
      </c>
      <c r="B20" s="12" t="s">
        <v>55</v>
      </c>
      <c r="C20" s="12"/>
      <c r="D20" s="13" t="s">
        <v>56</v>
      </c>
      <c r="E20" s="14" t="s">
        <v>53</v>
      </c>
      <c r="F20" s="14"/>
    </row>
    <row r="21" customFormat="false" ht="25.5" hidden="false" customHeight="true" outlineLevel="0" collapsed="false">
      <c r="A21" s="11" t="s">
        <v>57</v>
      </c>
      <c r="B21" s="12" t="s">
        <v>58</v>
      </c>
      <c r="C21" s="12"/>
      <c r="D21" s="13" t="s">
        <v>59</v>
      </c>
      <c r="E21" s="14" t="s">
        <v>53</v>
      </c>
      <c r="F21" s="14"/>
    </row>
    <row r="23" customFormat="false" ht="9.75" hidden="false" customHeight="true" outlineLevel="0" collapsed="false">
      <c r="A23" s="3"/>
      <c r="B23" s="3"/>
      <c r="C23" s="3"/>
      <c r="D23" s="3"/>
      <c r="E23" s="3"/>
      <c r="F23" s="3"/>
    </row>
    <row r="24" customFormat="false" ht="24" hidden="false" customHeight="true" outlineLevel="0" collapsed="false">
      <c r="A24" s="9" t="s">
        <v>60</v>
      </c>
      <c r="B24" s="9"/>
      <c r="C24" s="9"/>
      <c r="D24" s="9"/>
      <c r="E24" s="9"/>
      <c r="F24" s="9"/>
    </row>
    <row r="25" customFormat="false" ht="19.5" hidden="false" customHeight="true" outlineLevel="0" collapsed="false">
      <c r="A25" s="4" t="s">
        <v>61</v>
      </c>
      <c r="B25" s="4" t="s">
        <v>62</v>
      </c>
      <c r="C25" s="4"/>
      <c r="D25" s="4" t="s">
        <v>63</v>
      </c>
      <c r="E25" s="4" t="s">
        <v>64</v>
      </c>
      <c r="F25" s="4"/>
    </row>
    <row r="26" customFormat="false" ht="24" hidden="false" customHeight="true" outlineLevel="0" collapsed="false">
      <c r="A26" s="15" t="s">
        <v>65</v>
      </c>
      <c r="B26" s="15" t="s">
        <v>66</v>
      </c>
      <c r="C26" s="15"/>
      <c r="D26" s="16" t="s">
        <v>67</v>
      </c>
      <c r="E26" s="16" t="s">
        <v>68</v>
      </c>
      <c r="F26" s="16"/>
    </row>
    <row r="27" customFormat="false" ht="24" hidden="false" customHeight="true" outlineLevel="0" collapsed="false">
      <c r="A27" s="17" t="s">
        <v>69</v>
      </c>
      <c r="B27" s="17" t="s">
        <v>70</v>
      </c>
      <c r="C27" s="17"/>
      <c r="D27" s="7" t="s">
        <v>71</v>
      </c>
      <c r="E27" s="7" t="s">
        <v>72</v>
      </c>
      <c r="F27" s="7"/>
    </row>
    <row r="28" customFormat="false" ht="24" hidden="false" customHeight="true" outlineLevel="0" collapsed="false">
      <c r="A28" s="15" t="s">
        <v>73</v>
      </c>
      <c r="B28" s="15" t="s">
        <v>74</v>
      </c>
      <c r="C28" s="15"/>
      <c r="D28" s="16" t="s">
        <v>75</v>
      </c>
      <c r="E28" s="16" t="s">
        <v>76</v>
      </c>
      <c r="F28" s="16"/>
    </row>
    <row r="29" customFormat="false" ht="24" hidden="false" customHeight="true" outlineLevel="0" collapsed="false">
      <c r="A29" s="17" t="s">
        <v>77</v>
      </c>
      <c r="B29" s="17" t="s">
        <v>78</v>
      </c>
      <c r="C29" s="17"/>
      <c r="D29" s="7" t="s">
        <v>79</v>
      </c>
      <c r="E29" s="7" t="s">
        <v>80</v>
      </c>
      <c r="F29" s="7"/>
    </row>
    <row r="30" customFormat="false" ht="24" hidden="false" customHeight="true" outlineLevel="0" collapsed="false">
      <c r="A30" s="15" t="s">
        <v>81</v>
      </c>
      <c r="B30" s="15" t="s">
        <v>82</v>
      </c>
      <c r="C30" s="15"/>
      <c r="D30" s="16" t="s">
        <v>83</v>
      </c>
      <c r="E30" s="16" t="s">
        <v>84</v>
      </c>
      <c r="F30" s="16"/>
    </row>
    <row r="31" customFormat="false" ht="24" hidden="false" customHeight="true" outlineLevel="0" collapsed="false">
      <c r="A31" s="10" t="s">
        <v>85</v>
      </c>
      <c r="B31" s="6" t="s">
        <v>86</v>
      </c>
      <c r="C31" s="6"/>
      <c r="D31" s="5" t="s">
        <v>87</v>
      </c>
      <c r="E31" s="5" t="s">
        <v>88</v>
      </c>
      <c r="F31" s="5"/>
    </row>
  </sheetData>
  <mergeCells count="40">
    <mergeCell ref="A1:F1"/>
    <mergeCell ref="A2:F2"/>
    <mergeCell ref="B4:C4"/>
    <mergeCell ref="B5:C5"/>
    <mergeCell ref="B6:C6"/>
    <mergeCell ref="B7:C7"/>
    <mergeCell ref="B8:C8"/>
    <mergeCell ref="B9:C9"/>
    <mergeCell ref="B10:C10"/>
    <mergeCell ref="B11:C11"/>
    <mergeCell ref="A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A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63" activePane="bottomRight" state="frozen"/>
      <selection pane="topLeft" activeCell="A1" activeCellId="0" sqref="A1"/>
      <selection pane="topRight" activeCell="B1" activeCellId="0" sqref="B1"/>
      <selection pane="bottomLeft" activeCell="A63" activeCellId="0" sqref="A63"/>
      <selection pane="bottomRight" activeCell="B33" activeCellId="0" sqref="B33"/>
    </sheetView>
  </sheetViews>
  <sheetFormatPr defaultColWidth="8.304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6" min="3" style="0" width="18"/>
    <col collapsed="false" customWidth="true" hidden="false" outlineLevel="0" max="7" min="7" style="0" width="20"/>
    <col collapsed="false" customWidth="true" hidden="false" outlineLevel="0" max="8" min="8" style="0" width="14"/>
  </cols>
  <sheetData>
    <row r="1" customFormat="false" ht="36" hidden="false" customHeight="true" outlineLevel="0" collapsed="false">
      <c r="A1" s="18" t="s">
        <v>89</v>
      </c>
      <c r="B1" s="18"/>
      <c r="C1" s="18"/>
      <c r="D1" s="18"/>
      <c r="E1" s="18"/>
      <c r="F1" s="18"/>
      <c r="G1" s="18"/>
      <c r="H1" s="18"/>
    </row>
    <row r="2" customFormat="false" ht="25.5" hidden="false" customHeight="true" outlineLevel="0" collapsed="false">
      <c r="A2" s="19" t="s">
        <v>90</v>
      </c>
      <c r="B2" s="19"/>
      <c r="C2" s="19"/>
      <c r="D2" s="19"/>
      <c r="E2" s="19"/>
      <c r="F2" s="19"/>
      <c r="G2" s="19"/>
      <c r="H2" s="19"/>
    </row>
    <row r="4" customFormat="false" ht="24" hidden="false" customHeight="true" outlineLevel="0" collapsed="false">
      <c r="A4" s="9" t="s">
        <v>91</v>
      </c>
      <c r="B4" s="9"/>
      <c r="C4" s="9"/>
      <c r="D4" s="9"/>
      <c r="E4" s="9"/>
      <c r="F4" s="9"/>
      <c r="G4" s="9"/>
      <c r="H4" s="9"/>
    </row>
    <row r="5" customFormat="false" ht="21.75" hidden="false" customHeight="true" outlineLevel="0" collapsed="false">
      <c r="A5" s="12" t="s">
        <v>92</v>
      </c>
      <c r="B5" s="13"/>
      <c r="C5" s="13"/>
      <c r="D5" s="13"/>
      <c r="E5" s="12" t="s">
        <v>93</v>
      </c>
      <c r="F5" s="13"/>
      <c r="G5" s="13"/>
      <c r="H5" s="13"/>
    </row>
    <row r="6" customFormat="false" ht="21.75" hidden="false" customHeight="true" outlineLevel="0" collapsed="false">
      <c r="A6" s="12" t="s">
        <v>94</v>
      </c>
      <c r="B6" s="13"/>
      <c r="C6" s="12" t="s">
        <v>95</v>
      </c>
      <c r="D6" s="16" t="s">
        <v>96</v>
      </c>
      <c r="E6" s="12" t="s">
        <v>97</v>
      </c>
      <c r="F6" s="13"/>
      <c r="G6" s="13"/>
      <c r="H6" s="13"/>
    </row>
    <row r="7" customFormat="false" ht="7.5" hidden="false" customHeight="true" outlineLevel="0" collapsed="false"/>
    <row r="8" customFormat="false" ht="21.75" hidden="false" customHeight="true" outlineLevel="0" collapsed="false">
      <c r="A8" s="4" t="s">
        <v>2</v>
      </c>
      <c r="B8" s="4" t="s">
        <v>98</v>
      </c>
      <c r="C8" s="4"/>
      <c r="D8" s="4" t="s">
        <v>99</v>
      </c>
      <c r="E8" s="4" t="s">
        <v>100</v>
      </c>
      <c r="F8" s="4"/>
      <c r="G8" s="4" t="s">
        <v>101</v>
      </c>
      <c r="H8" s="4" t="s">
        <v>102</v>
      </c>
    </row>
    <row r="9" customFormat="false" ht="31.5" hidden="false" customHeight="true" outlineLevel="0" collapsed="false">
      <c r="A9" s="13" t="n">
        <v>1</v>
      </c>
      <c r="B9" s="13"/>
      <c r="C9" s="13"/>
      <c r="D9" s="13"/>
      <c r="E9" s="20" t="s">
        <v>103</v>
      </c>
      <c r="F9" s="20"/>
      <c r="G9" s="13"/>
      <c r="H9" s="13"/>
    </row>
    <row r="10" customFormat="false" ht="31.5" hidden="false" customHeight="true" outlineLevel="0" collapsed="false">
      <c r="A10" s="13" t="n">
        <v>2</v>
      </c>
      <c r="B10" s="13"/>
      <c r="C10" s="13"/>
      <c r="D10" s="13"/>
      <c r="E10" s="20" t="s">
        <v>104</v>
      </c>
      <c r="F10" s="20"/>
      <c r="G10" s="13"/>
      <c r="H10" s="13"/>
    </row>
    <row r="11" customFormat="false" ht="31.5" hidden="false" customHeight="true" outlineLevel="0" collapsed="false">
      <c r="A11" s="13" t="n">
        <v>3</v>
      </c>
      <c r="B11" s="13"/>
      <c r="C11" s="13"/>
      <c r="D11" s="13"/>
      <c r="E11" s="20" t="s">
        <v>105</v>
      </c>
      <c r="F11" s="20"/>
      <c r="G11" s="13"/>
      <c r="H11" s="13"/>
    </row>
    <row r="12" customFormat="false" ht="31.5" hidden="false" customHeight="true" outlineLevel="0" collapsed="false">
      <c r="A12" s="13" t="n">
        <v>4</v>
      </c>
      <c r="B12" s="13"/>
      <c r="C12" s="13"/>
      <c r="D12" s="13"/>
      <c r="E12" s="20" t="s">
        <v>106</v>
      </c>
      <c r="F12" s="20"/>
      <c r="G12" s="13"/>
      <c r="H12" s="13"/>
    </row>
    <row r="13" customFormat="false" ht="31.5" hidden="false" customHeight="true" outlineLevel="0" collapsed="false">
      <c r="A13" s="13" t="n">
        <v>5</v>
      </c>
      <c r="B13" s="13"/>
      <c r="C13" s="13"/>
      <c r="D13" s="13"/>
      <c r="E13" s="20" t="s">
        <v>107</v>
      </c>
      <c r="F13" s="20"/>
      <c r="G13" s="13"/>
      <c r="H13" s="13"/>
    </row>
    <row r="14" customFormat="false" ht="7.5" hidden="false" customHeight="true" outlineLevel="0" collapsed="false"/>
    <row r="15" customFormat="false" ht="24" hidden="false" customHeight="true" outlineLevel="0" collapsed="false">
      <c r="A15" s="9" t="s">
        <v>108</v>
      </c>
      <c r="B15" s="9"/>
      <c r="C15" s="9"/>
      <c r="D15" s="9"/>
      <c r="E15" s="9"/>
      <c r="F15" s="9"/>
      <c r="G15" s="9"/>
      <c r="H15" s="9"/>
    </row>
    <row r="16" customFormat="false" ht="25.5" hidden="false" customHeight="true" outlineLevel="0" collapsed="false">
      <c r="A16" s="12" t="s">
        <v>109</v>
      </c>
      <c r="B16" s="13"/>
      <c r="C16" s="13"/>
      <c r="D16" s="13"/>
      <c r="E16" s="12" t="s">
        <v>110</v>
      </c>
      <c r="F16" s="13"/>
      <c r="G16" s="13"/>
      <c r="H16" s="13"/>
    </row>
    <row r="17" customFormat="false" ht="21.75" hidden="false" customHeight="true" outlineLevel="0" collapsed="false">
      <c r="A17" s="12" t="s">
        <v>111</v>
      </c>
      <c r="B17" s="20" t="s">
        <v>112</v>
      </c>
      <c r="C17" s="20"/>
      <c r="D17" s="20"/>
      <c r="E17" s="7" t="s">
        <v>113</v>
      </c>
      <c r="F17" s="13"/>
      <c r="G17" s="13"/>
      <c r="H17" s="13"/>
    </row>
    <row r="18" customFormat="false" ht="36" hidden="false" customHeight="true" outlineLevel="0" collapsed="false">
      <c r="A18" s="12" t="s">
        <v>114</v>
      </c>
      <c r="B18" s="13"/>
      <c r="C18" s="13"/>
      <c r="D18" s="13"/>
      <c r="E18" s="13"/>
      <c r="F18" s="13"/>
      <c r="G18" s="13"/>
      <c r="H18" s="13"/>
    </row>
    <row r="19" customFormat="false" ht="7.5" hidden="false" customHeight="true" outlineLevel="0" collapsed="false"/>
    <row r="20" customFormat="false" ht="24" hidden="false" customHeight="true" outlineLevel="0" collapsed="false">
      <c r="A20" s="9" t="s">
        <v>115</v>
      </c>
      <c r="B20" s="9"/>
      <c r="C20" s="9"/>
      <c r="D20" s="9"/>
      <c r="E20" s="9"/>
      <c r="F20" s="9"/>
      <c r="G20" s="9"/>
      <c r="H20" s="9"/>
    </row>
    <row r="21" customFormat="false" ht="25.5" hidden="false" customHeight="true" outlineLevel="0" collapsed="false">
      <c r="A21" s="21" t="s">
        <v>116</v>
      </c>
      <c r="B21" s="21"/>
      <c r="C21" s="21"/>
      <c r="D21" s="21"/>
      <c r="E21" s="21"/>
      <c r="F21" s="21"/>
      <c r="G21" s="21"/>
      <c r="H21" s="21"/>
    </row>
    <row r="22" customFormat="false" ht="21.75" hidden="false" customHeight="true" outlineLevel="0" collapsed="false">
      <c r="A22" s="4" t="s">
        <v>117</v>
      </c>
      <c r="B22" s="4" t="s">
        <v>118</v>
      </c>
      <c r="C22" s="4"/>
      <c r="D22" s="4" t="s">
        <v>119</v>
      </c>
      <c r="E22" s="4"/>
      <c r="F22" s="4"/>
      <c r="G22" s="4" t="s">
        <v>120</v>
      </c>
      <c r="H22" s="4"/>
    </row>
    <row r="23" customFormat="false" ht="36" hidden="false" customHeight="true" outlineLevel="0" collapsed="false">
      <c r="A23" s="22" t="s">
        <v>121</v>
      </c>
      <c r="B23" s="23" t="s">
        <v>122</v>
      </c>
      <c r="C23" s="23"/>
      <c r="D23" s="20" t="s">
        <v>123</v>
      </c>
      <c r="E23" s="20"/>
      <c r="F23" s="20"/>
      <c r="G23" s="13"/>
      <c r="H23" s="13"/>
    </row>
    <row r="24" customFormat="false" ht="36" hidden="false" customHeight="true" outlineLevel="0" collapsed="false">
      <c r="A24" s="22" t="s">
        <v>124</v>
      </c>
      <c r="B24" s="23" t="s">
        <v>125</v>
      </c>
      <c r="C24" s="23"/>
      <c r="D24" s="20" t="s">
        <v>126</v>
      </c>
      <c r="E24" s="20"/>
      <c r="F24" s="20"/>
      <c r="G24" s="13"/>
      <c r="H24" s="13"/>
    </row>
    <row r="25" customFormat="false" ht="36" hidden="false" customHeight="true" outlineLevel="0" collapsed="false">
      <c r="A25" s="22" t="s">
        <v>127</v>
      </c>
      <c r="B25" s="23" t="s">
        <v>128</v>
      </c>
      <c r="C25" s="23"/>
      <c r="D25" s="20" t="s">
        <v>129</v>
      </c>
      <c r="E25" s="20"/>
      <c r="F25" s="20"/>
      <c r="G25" s="13"/>
      <c r="H25" s="13"/>
    </row>
    <row r="26" customFormat="false" ht="36" hidden="false" customHeight="true" outlineLevel="0" collapsed="false">
      <c r="A26" s="22" t="s">
        <v>130</v>
      </c>
      <c r="B26" s="23" t="s">
        <v>131</v>
      </c>
      <c r="C26" s="23"/>
      <c r="D26" s="20" t="s">
        <v>132</v>
      </c>
      <c r="E26" s="20"/>
      <c r="F26" s="20"/>
      <c r="G26" s="13"/>
      <c r="H26" s="13"/>
    </row>
    <row r="27" customFormat="false" ht="9.75" hidden="false" customHeight="true" outlineLevel="0" collapsed="false"/>
    <row r="28" customFormat="false" ht="21.75" hidden="false" customHeight="true" outlineLevel="0" collapsed="false">
      <c r="A28" s="4" t="s">
        <v>133</v>
      </c>
      <c r="B28" s="4"/>
      <c r="C28" s="4"/>
      <c r="D28" s="4"/>
      <c r="E28" s="4"/>
      <c r="F28" s="4"/>
      <c r="G28" s="4"/>
      <c r="H28" s="4"/>
    </row>
    <row r="29" customFormat="false" ht="27.75" hidden="false" customHeight="true" outlineLevel="0" collapsed="false">
      <c r="A29" s="12" t="s">
        <v>134</v>
      </c>
      <c r="B29" s="20" t="s">
        <v>135</v>
      </c>
      <c r="C29" s="20"/>
      <c r="D29" s="20"/>
      <c r="E29" s="20"/>
      <c r="F29" s="20"/>
      <c r="G29" s="20"/>
      <c r="H29" s="20"/>
    </row>
    <row r="30" customFormat="false" ht="49.5" hidden="false" customHeight="true" outlineLevel="0" collapsed="false">
      <c r="A30" s="24" t="s">
        <v>136</v>
      </c>
      <c r="B30" s="13"/>
      <c r="C30" s="13"/>
      <c r="D30" s="13"/>
      <c r="E30" s="13"/>
      <c r="F30" s="13"/>
      <c r="G30" s="13"/>
      <c r="H30" s="13"/>
    </row>
    <row r="31" customFormat="false" ht="46.6" hidden="false" customHeight="false" outlineLevel="0" collapsed="false">
      <c r="A31" s="12" t="s">
        <v>137</v>
      </c>
      <c r="B31" s="13"/>
      <c r="C31" s="13"/>
      <c r="D31" s="13"/>
      <c r="E31" s="13"/>
      <c r="F31" s="13"/>
      <c r="G31" s="13"/>
      <c r="H31" s="13"/>
    </row>
    <row r="32" customFormat="false" ht="46.6" hidden="false" customHeight="false" outlineLevel="0" collapsed="false">
      <c r="A32" s="12" t="s">
        <v>138</v>
      </c>
      <c r="B32" s="13"/>
      <c r="C32" s="13"/>
      <c r="D32" s="13"/>
      <c r="E32" s="13"/>
      <c r="F32" s="13"/>
      <c r="G32" s="13"/>
      <c r="H32" s="13"/>
    </row>
    <row r="33" customFormat="false" ht="46.6" hidden="false" customHeight="false" outlineLevel="0" collapsed="false">
      <c r="A33" s="12" t="s">
        <v>139</v>
      </c>
      <c r="B33" s="13"/>
      <c r="C33" s="13"/>
      <c r="D33" s="13"/>
      <c r="E33" s="13"/>
      <c r="F33" s="13"/>
      <c r="G33" s="13"/>
      <c r="H33" s="13"/>
    </row>
    <row r="34" customFormat="false" ht="7.5" hidden="false" customHeight="true" outlineLevel="0" collapsed="false"/>
    <row r="35" customFormat="false" ht="24" hidden="false" customHeight="true" outlineLevel="0" collapsed="false">
      <c r="A35" s="9" t="s">
        <v>140</v>
      </c>
      <c r="B35" s="9"/>
      <c r="C35" s="9"/>
      <c r="D35" s="9"/>
      <c r="E35" s="9"/>
      <c r="F35" s="9"/>
      <c r="G35" s="9"/>
      <c r="H35" s="9"/>
    </row>
    <row r="36" customFormat="false" ht="21.75" hidden="false" customHeight="true" outlineLevel="0" collapsed="false">
      <c r="A36" s="4" t="s">
        <v>141</v>
      </c>
      <c r="B36" s="4"/>
      <c r="C36" s="4"/>
      <c r="D36" s="4" t="s">
        <v>142</v>
      </c>
      <c r="E36" s="4"/>
      <c r="F36" s="4"/>
      <c r="G36" s="4" t="s">
        <v>143</v>
      </c>
      <c r="H36" s="4"/>
    </row>
    <row r="37" customFormat="false" ht="27.75" hidden="false" customHeight="true" outlineLevel="0" collapsed="false">
      <c r="A37" s="10" t="s">
        <v>144</v>
      </c>
      <c r="B37" s="10"/>
      <c r="C37" s="10"/>
      <c r="D37" s="13"/>
      <c r="E37" s="13"/>
      <c r="F37" s="13"/>
      <c r="G37" s="13"/>
      <c r="H37" s="13"/>
    </row>
    <row r="38" customFormat="false" ht="27.75" hidden="false" customHeight="true" outlineLevel="0" collapsed="false">
      <c r="A38" s="10" t="s">
        <v>145</v>
      </c>
      <c r="B38" s="10"/>
      <c r="C38" s="10"/>
      <c r="D38" s="13"/>
      <c r="E38" s="13"/>
      <c r="F38" s="13"/>
      <c r="G38" s="13"/>
      <c r="H38" s="13"/>
    </row>
    <row r="39" customFormat="false" ht="27.75" hidden="false" customHeight="true" outlineLevel="0" collapsed="false">
      <c r="A39" s="10" t="s">
        <v>146</v>
      </c>
      <c r="B39" s="10"/>
      <c r="C39" s="10"/>
      <c r="D39" s="13"/>
      <c r="E39" s="13"/>
      <c r="F39" s="13"/>
      <c r="G39" s="13"/>
      <c r="H39" s="13"/>
    </row>
    <row r="40" customFormat="false" ht="27.75" hidden="false" customHeight="true" outlineLevel="0" collapsed="false">
      <c r="A40" s="10" t="s">
        <v>147</v>
      </c>
      <c r="B40" s="10"/>
      <c r="C40" s="10"/>
      <c r="D40" s="13"/>
      <c r="E40" s="13"/>
      <c r="F40" s="13"/>
      <c r="G40" s="13"/>
      <c r="H40" s="13"/>
    </row>
    <row r="41" customFormat="false" ht="7.5" hidden="false" customHeight="true" outlineLevel="0" collapsed="false"/>
    <row r="42" customFormat="false" ht="24" hidden="false" customHeight="true" outlineLevel="0" collapsed="false">
      <c r="A42" s="9" t="s">
        <v>148</v>
      </c>
      <c r="B42" s="9"/>
      <c r="C42" s="9"/>
      <c r="D42" s="9"/>
      <c r="E42" s="9"/>
      <c r="F42" s="9"/>
      <c r="G42" s="9"/>
      <c r="H42" s="9"/>
    </row>
    <row r="43" customFormat="false" ht="21.75" hidden="false" customHeight="true" outlineLevel="0" collapsed="false">
      <c r="A43" s="4" t="s">
        <v>6</v>
      </c>
      <c r="B43" s="4" t="s">
        <v>149</v>
      </c>
      <c r="C43" s="4"/>
      <c r="D43" s="4" t="s">
        <v>150</v>
      </c>
      <c r="E43" s="4"/>
      <c r="F43" s="4" t="s">
        <v>151</v>
      </c>
      <c r="G43" s="4"/>
      <c r="H43" s="4" t="s">
        <v>152</v>
      </c>
    </row>
    <row r="44" customFormat="false" ht="36" hidden="false" customHeight="true" outlineLevel="0" collapsed="false">
      <c r="A44" s="10" t="s">
        <v>14</v>
      </c>
      <c r="B44" s="6" t="s">
        <v>153</v>
      </c>
      <c r="C44" s="6"/>
      <c r="D44" s="5" t="s">
        <v>154</v>
      </c>
      <c r="E44" s="5"/>
      <c r="F44" s="20" t="s">
        <v>155</v>
      </c>
      <c r="G44" s="20"/>
      <c r="H44" s="13"/>
    </row>
    <row r="45" customFormat="false" ht="36" hidden="false" customHeight="true" outlineLevel="0" collapsed="false">
      <c r="A45" s="17" t="s">
        <v>18</v>
      </c>
      <c r="B45" s="8" t="s">
        <v>156</v>
      </c>
      <c r="C45" s="8"/>
      <c r="D45" s="7" t="s">
        <v>157</v>
      </c>
      <c r="E45" s="7"/>
      <c r="F45" s="20" t="s">
        <v>158</v>
      </c>
      <c r="G45" s="20"/>
      <c r="H45" s="13"/>
    </row>
    <row r="46" customFormat="false" ht="36" hidden="false" customHeight="true" outlineLevel="0" collapsed="false">
      <c r="A46" s="10" t="s">
        <v>159</v>
      </c>
      <c r="B46" s="6" t="s">
        <v>160</v>
      </c>
      <c r="C46" s="6"/>
      <c r="D46" s="5" t="s">
        <v>161</v>
      </c>
      <c r="E46" s="5"/>
      <c r="F46" s="20" t="s">
        <v>162</v>
      </c>
      <c r="G46" s="20"/>
      <c r="H46" s="13"/>
    </row>
    <row r="47" customFormat="false" ht="36" hidden="false" customHeight="true" outlineLevel="0" collapsed="false">
      <c r="A47" s="17" t="s">
        <v>163</v>
      </c>
      <c r="B47" s="8" t="s">
        <v>164</v>
      </c>
      <c r="C47" s="8"/>
      <c r="D47" s="7" t="s">
        <v>165</v>
      </c>
      <c r="E47" s="7"/>
      <c r="F47" s="20" t="s">
        <v>162</v>
      </c>
      <c r="G47" s="20"/>
      <c r="H47" s="13"/>
    </row>
    <row r="48" customFormat="false" ht="36" hidden="false" customHeight="true" outlineLevel="0" collapsed="false">
      <c r="A48" s="10" t="s">
        <v>26</v>
      </c>
      <c r="B48" s="6" t="s">
        <v>166</v>
      </c>
      <c r="C48" s="6"/>
      <c r="D48" s="5" t="s">
        <v>167</v>
      </c>
      <c r="E48" s="5"/>
      <c r="F48" s="20" t="s">
        <v>168</v>
      </c>
      <c r="G48" s="20"/>
      <c r="H48" s="13"/>
    </row>
    <row r="49" customFormat="false" ht="36" hidden="false" customHeight="true" outlineLevel="0" collapsed="false">
      <c r="A49" s="17" t="s">
        <v>169</v>
      </c>
      <c r="B49" s="8" t="s">
        <v>170</v>
      </c>
      <c r="C49" s="8"/>
      <c r="D49" s="7" t="s">
        <v>171</v>
      </c>
      <c r="E49" s="7"/>
      <c r="F49" s="20" t="s">
        <v>172</v>
      </c>
      <c r="G49" s="20"/>
      <c r="H49" s="13"/>
    </row>
    <row r="50" customFormat="false" ht="36" hidden="false" customHeight="true" outlineLevel="0" collapsed="false">
      <c r="A50" s="10" t="s">
        <v>173</v>
      </c>
      <c r="B50" s="6" t="s">
        <v>174</v>
      </c>
      <c r="C50" s="6"/>
      <c r="D50" s="5" t="s">
        <v>175</v>
      </c>
      <c r="E50" s="5"/>
      <c r="F50" s="20" t="s">
        <v>33</v>
      </c>
      <c r="G50" s="20"/>
      <c r="H50" s="13"/>
    </row>
    <row r="51" customFormat="false" ht="7.5" hidden="false" customHeight="true" outlineLevel="0" collapsed="false"/>
    <row r="52" customFormat="false" ht="24" hidden="false" customHeight="true" outlineLevel="0" collapsed="false">
      <c r="A52" s="9" t="s">
        <v>176</v>
      </c>
      <c r="B52" s="9"/>
      <c r="C52" s="9"/>
      <c r="D52" s="9"/>
      <c r="E52" s="9"/>
      <c r="F52" s="9"/>
      <c r="G52" s="9"/>
      <c r="H52" s="9"/>
    </row>
    <row r="53" customFormat="false" ht="25.5" hidden="false" customHeight="true" outlineLevel="0" collapsed="false">
      <c r="A53" s="12" t="s">
        <v>177</v>
      </c>
      <c r="B53" s="16"/>
      <c r="C53" s="16"/>
      <c r="D53" s="16"/>
      <c r="E53" s="12" t="s">
        <v>178</v>
      </c>
      <c r="F53" s="16"/>
      <c r="G53" s="16"/>
      <c r="H53" s="16"/>
    </row>
    <row r="54" customFormat="false" ht="25.5" hidden="false" customHeight="true" outlineLevel="0" collapsed="false">
      <c r="A54" s="12" t="s">
        <v>179</v>
      </c>
      <c r="B54" s="15" t="s">
        <v>180</v>
      </c>
      <c r="C54" s="15"/>
      <c r="D54" s="15"/>
      <c r="E54" s="15"/>
      <c r="F54" s="15"/>
      <c r="G54" s="15"/>
      <c r="H54" s="15"/>
    </row>
    <row r="55" customFormat="false" ht="49.5" hidden="false" customHeight="true" outlineLevel="0" collapsed="false">
      <c r="A55" s="12" t="s">
        <v>181</v>
      </c>
      <c r="B55" s="16"/>
      <c r="C55" s="16"/>
      <c r="D55" s="16"/>
      <c r="E55" s="16"/>
      <c r="F55" s="16"/>
      <c r="G55" s="16"/>
      <c r="H55" s="16"/>
    </row>
  </sheetData>
  <mergeCells count="93">
    <mergeCell ref="A1:H1"/>
    <mergeCell ref="A2:H2"/>
    <mergeCell ref="A4:H4"/>
    <mergeCell ref="B5:D5"/>
    <mergeCell ref="F5:H5"/>
    <mergeCell ref="F6:H6"/>
    <mergeCell ref="B8:C8"/>
    <mergeCell ref="E8:F8"/>
    <mergeCell ref="B9:C9"/>
    <mergeCell ref="E9:F9"/>
    <mergeCell ref="B10:C10"/>
    <mergeCell ref="E10:F10"/>
    <mergeCell ref="B11:C11"/>
    <mergeCell ref="E11:F11"/>
    <mergeCell ref="B12:C12"/>
    <mergeCell ref="E12:F12"/>
    <mergeCell ref="B13:C13"/>
    <mergeCell ref="E13:F13"/>
    <mergeCell ref="A15:H15"/>
    <mergeCell ref="B16:D16"/>
    <mergeCell ref="F16:H16"/>
    <mergeCell ref="B17:D17"/>
    <mergeCell ref="F17:H17"/>
    <mergeCell ref="B18:H18"/>
    <mergeCell ref="A20:H20"/>
    <mergeCell ref="A21:H21"/>
    <mergeCell ref="B22:C22"/>
    <mergeCell ref="D22:F22"/>
    <mergeCell ref="G22:H22"/>
    <mergeCell ref="B23:C23"/>
    <mergeCell ref="D23:F23"/>
    <mergeCell ref="G23:H23"/>
    <mergeCell ref="B24:C24"/>
    <mergeCell ref="D24:F24"/>
    <mergeCell ref="G24:H24"/>
    <mergeCell ref="B25:C25"/>
    <mergeCell ref="D25:F25"/>
    <mergeCell ref="G25:H25"/>
    <mergeCell ref="B26:C26"/>
    <mergeCell ref="D26:F26"/>
    <mergeCell ref="G26:H26"/>
    <mergeCell ref="A28:H28"/>
    <mergeCell ref="B29:H29"/>
    <mergeCell ref="B30:H30"/>
    <mergeCell ref="B31:H31"/>
    <mergeCell ref="B32:H32"/>
    <mergeCell ref="B33:H33"/>
    <mergeCell ref="A35:H35"/>
    <mergeCell ref="A36:C36"/>
    <mergeCell ref="D36:F36"/>
    <mergeCell ref="G36:H36"/>
    <mergeCell ref="A37:C37"/>
    <mergeCell ref="D37:F37"/>
    <mergeCell ref="G37:H37"/>
    <mergeCell ref="A38:C38"/>
    <mergeCell ref="D38:F38"/>
    <mergeCell ref="G38:H38"/>
    <mergeCell ref="A39:C39"/>
    <mergeCell ref="D39:F39"/>
    <mergeCell ref="G39:H39"/>
    <mergeCell ref="A40:C40"/>
    <mergeCell ref="D40:F40"/>
    <mergeCell ref="G40:H40"/>
    <mergeCell ref="A42:H42"/>
    <mergeCell ref="B43:C43"/>
    <mergeCell ref="D43:E43"/>
    <mergeCell ref="F43:G43"/>
    <mergeCell ref="B44:C44"/>
    <mergeCell ref="D44:E44"/>
    <mergeCell ref="F44:G44"/>
    <mergeCell ref="B45:C45"/>
    <mergeCell ref="D45:E45"/>
    <mergeCell ref="F45:G45"/>
    <mergeCell ref="B46:C46"/>
    <mergeCell ref="D46:E46"/>
    <mergeCell ref="F46:G46"/>
    <mergeCell ref="B47:C47"/>
    <mergeCell ref="D47:E47"/>
    <mergeCell ref="F47:G47"/>
    <mergeCell ref="B48:C48"/>
    <mergeCell ref="D48:E48"/>
    <mergeCell ref="F48:G48"/>
    <mergeCell ref="B49:C49"/>
    <mergeCell ref="D49:E49"/>
    <mergeCell ref="F49:G49"/>
    <mergeCell ref="B50:C50"/>
    <mergeCell ref="D50:E50"/>
    <mergeCell ref="F50:G50"/>
    <mergeCell ref="A52:H52"/>
    <mergeCell ref="B53:D53"/>
    <mergeCell ref="F53:H53"/>
    <mergeCell ref="B54:H54"/>
    <mergeCell ref="B55:H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3046875" defaultRowHeight="15" customHeight="false"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4" min="3" style="0" width="14"/>
    <col collapsed="false" customWidth="true" hidden="false" outlineLevel="0" max="5" min="5" style="0" width="22"/>
    <col collapsed="false" customWidth="true" hidden="false" outlineLevel="0" max="7" min="6" style="0" width="18"/>
    <col collapsed="false" customWidth="true" hidden="false" outlineLevel="0" max="8" min="8" style="0" width="16"/>
  </cols>
  <sheetData>
    <row r="1" customFormat="false" ht="33.75" hidden="false" customHeight="true" outlineLevel="0" collapsed="false">
      <c r="A1" s="18" t="s">
        <v>182</v>
      </c>
      <c r="B1" s="18"/>
      <c r="C1" s="18"/>
      <c r="D1" s="18"/>
      <c r="E1" s="18"/>
      <c r="F1" s="18"/>
      <c r="G1" s="18"/>
      <c r="H1" s="18"/>
    </row>
    <row r="2" customFormat="false" ht="25.5" hidden="false" customHeight="true" outlineLevel="0" collapsed="false">
      <c r="A2" s="21" t="s">
        <v>183</v>
      </c>
      <c r="B2" s="21"/>
      <c r="C2" s="21"/>
      <c r="D2" s="21"/>
      <c r="E2" s="21"/>
      <c r="F2" s="21"/>
      <c r="G2" s="21"/>
      <c r="H2" s="21"/>
    </row>
    <row r="4" customFormat="false" ht="24" hidden="false" customHeight="true" outlineLevel="0" collapsed="false">
      <c r="A4" s="9" t="s">
        <v>184</v>
      </c>
      <c r="B4" s="9"/>
      <c r="C4" s="9"/>
      <c r="D4" s="9"/>
      <c r="E4" s="9"/>
      <c r="F4" s="9"/>
      <c r="G4" s="9"/>
      <c r="H4" s="9"/>
    </row>
    <row r="5" customFormat="false" ht="27.75" hidden="false" customHeight="true" outlineLevel="0" collapsed="false">
      <c r="A5" s="12" t="s">
        <v>185</v>
      </c>
      <c r="B5" s="20" t="s">
        <v>186</v>
      </c>
      <c r="C5" s="20"/>
      <c r="D5" s="20"/>
      <c r="E5" s="20"/>
      <c r="F5" s="20"/>
      <c r="G5" s="20"/>
      <c r="H5" s="20"/>
    </row>
    <row r="6" customFormat="false" ht="43.5" hidden="false" customHeight="true" outlineLevel="0" collapsed="false">
      <c r="A6" s="25" t="s">
        <v>136</v>
      </c>
      <c r="B6" s="13"/>
      <c r="C6" s="13"/>
      <c r="D6" s="13"/>
      <c r="E6" s="13"/>
      <c r="F6" s="13"/>
      <c r="G6" s="13"/>
      <c r="H6" s="13"/>
    </row>
    <row r="7" customFormat="false" ht="21.75" hidden="false" customHeight="true" outlineLevel="0" collapsed="false">
      <c r="A7" s="12" t="s">
        <v>187</v>
      </c>
      <c r="B7" s="20" t="s">
        <v>188</v>
      </c>
      <c r="C7" s="20"/>
      <c r="D7" s="20"/>
      <c r="E7" s="20"/>
      <c r="F7" s="20"/>
      <c r="G7" s="20"/>
      <c r="H7" s="20"/>
    </row>
    <row r="8" customFormat="false" ht="21.75" hidden="false" customHeight="true" outlineLevel="0" collapsed="false">
      <c r="A8" s="12" t="s">
        <v>189</v>
      </c>
      <c r="B8" s="13"/>
      <c r="C8" s="12" t="s">
        <v>190</v>
      </c>
      <c r="D8" s="13"/>
      <c r="E8" s="12" t="s">
        <v>191</v>
      </c>
      <c r="F8" s="13"/>
      <c r="G8" s="12" t="s">
        <v>192</v>
      </c>
      <c r="H8" s="13"/>
    </row>
    <row r="9" customFormat="false" ht="7.5" hidden="false" customHeight="true" outlineLevel="0" collapsed="false"/>
    <row r="10" customFormat="false" ht="24" hidden="false" customHeight="true" outlineLevel="0" collapsed="false">
      <c r="A10" s="9" t="s">
        <v>193</v>
      </c>
      <c r="B10" s="9"/>
      <c r="C10" s="9"/>
      <c r="D10" s="9"/>
      <c r="E10" s="9"/>
      <c r="F10" s="9"/>
      <c r="G10" s="9"/>
      <c r="H10" s="9"/>
    </row>
    <row r="11" customFormat="false" ht="21.75" hidden="false" customHeight="true" outlineLevel="0" collapsed="false">
      <c r="A11" s="4" t="s">
        <v>2</v>
      </c>
      <c r="B11" s="4" t="s">
        <v>194</v>
      </c>
      <c r="C11" s="4" t="s">
        <v>195</v>
      </c>
      <c r="D11" s="4" t="s">
        <v>196</v>
      </c>
      <c r="E11" s="4" t="s">
        <v>197</v>
      </c>
      <c r="F11" s="4" t="s">
        <v>198</v>
      </c>
      <c r="G11" s="4" t="s">
        <v>199</v>
      </c>
      <c r="H11" s="4" t="s">
        <v>200</v>
      </c>
    </row>
    <row r="12" customFormat="false" ht="36" hidden="false" customHeight="true" outlineLevel="0" collapsed="false">
      <c r="A12" s="13" t="n">
        <v>1</v>
      </c>
      <c r="B12" s="13"/>
      <c r="C12" s="13"/>
      <c r="D12" s="13"/>
      <c r="E12" s="13"/>
      <c r="F12" s="13"/>
      <c r="G12" s="13"/>
      <c r="H12" s="13"/>
    </row>
    <row r="13" customFormat="false" ht="36" hidden="false" customHeight="true" outlineLevel="0" collapsed="false">
      <c r="A13" s="13" t="n">
        <v>2</v>
      </c>
      <c r="B13" s="13"/>
      <c r="C13" s="13"/>
      <c r="D13" s="13"/>
      <c r="E13" s="13"/>
      <c r="F13" s="13"/>
      <c r="G13" s="13"/>
      <c r="H13" s="13"/>
    </row>
    <row r="14" customFormat="false" ht="36" hidden="false" customHeight="true" outlineLevel="0" collapsed="false">
      <c r="A14" s="13" t="n">
        <v>3</v>
      </c>
      <c r="B14" s="13"/>
      <c r="C14" s="13"/>
      <c r="D14" s="13"/>
      <c r="E14" s="13"/>
      <c r="F14" s="13"/>
      <c r="G14" s="13"/>
      <c r="H14" s="13"/>
    </row>
    <row r="15" customFormat="false" ht="36" hidden="false" customHeight="true" outlineLevel="0" collapsed="false">
      <c r="A15" s="13" t="n">
        <v>4</v>
      </c>
      <c r="B15" s="13"/>
      <c r="C15" s="13"/>
      <c r="D15" s="13"/>
      <c r="E15" s="13"/>
      <c r="F15" s="13"/>
      <c r="G15" s="13"/>
      <c r="H15" s="13"/>
    </row>
    <row r="16" customFormat="false" ht="36" hidden="false" customHeight="true" outlineLevel="0" collapsed="false">
      <c r="A16" s="13" t="n">
        <v>5</v>
      </c>
      <c r="B16" s="13"/>
      <c r="C16" s="13"/>
      <c r="D16" s="13"/>
      <c r="E16" s="13"/>
      <c r="F16" s="13"/>
      <c r="G16" s="13"/>
      <c r="H16" s="13"/>
    </row>
    <row r="17" customFormat="false" ht="36" hidden="false" customHeight="true" outlineLevel="0" collapsed="false">
      <c r="A17" s="13" t="n">
        <v>6</v>
      </c>
      <c r="B17" s="13"/>
      <c r="C17" s="13"/>
      <c r="D17" s="13"/>
      <c r="E17" s="13"/>
      <c r="F17" s="13"/>
      <c r="G17" s="13"/>
      <c r="H17" s="13"/>
    </row>
    <row r="18" customFormat="false" ht="36" hidden="false" customHeight="true" outlineLevel="0" collapsed="false">
      <c r="A18" s="13" t="n">
        <v>7</v>
      </c>
      <c r="B18" s="13"/>
      <c r="C18" s="13"/>
      <c r="D18" s="13"/>
      <c r="E18" s="13"/>
      <c r="F18" s="13"/>
      <c r="G18" s="13"/>
      <c r="H18" s="13"/>
    </row>
    <row r="19" customFormat="false" ht="36" hidden="false" customHeight="true" outlineLevel="0" collapsed="false">
      <c r="A19" s="13" t="n">
        <v>8</v>
      </c>
      <c r="B19" s="13"/>
      <c r="C19" s="13"/>
      <c r="D19" s="13"/>
      <c r="E19" s="13"/>
      <c r="F19" s="13"/>
      <c r="G19" s="13"/>
      <c r="H19" s="13"/>
    </row>
    <row r="20" customFormat="false" ht="36" hidden="false" customHeight="true" outlineLevel="0" collapsed="false">
      <c r="A20" s="16" t="n">
        <v>9</v>
      </c>
      <c r="B20" s="16"/>
      <c r="C20" s="16"/>
      <c r="D20" s="16"/>
      <c r="E20" s="16"/>
      <c r="F20" s="16"/>
      <c r="G20" s="16"/>
      <c r="H20" s="16"/>
    </row>
    <row r="21" customFormat="false" ht="36" hidden="false" customHeight="true" outlineLevel="0" collapsed="false">
      <c r="A21" s="16" t="n">
        <v>10</v>
      </c>
      <c r="B21" s="16"/>
      <c r="C21" s="16"/>
      <c r="D21" s="16"/>
      <c r="E21" s="16"/>
      <c r="F21" s="16"/>
      <c r="G21" s="16"/>
      <c r="H21" s="16"/>
    </row>
    <row r="22" customFormat="false" ht="7.5" hidden="false" customHeight="true" outlineLevel="0" collapsed="false"/>
    <row r="23" customFormat="false" ht="24" hidden="false" customHeight="true" outlineLevel="0" collapsed="false">
      <c r="A23" s="9" t="s">
        <v>201</v>
      </c>
      <c r="B23" s="9"/>
      <c r="C23" s="9"/>
      <c r="D23" s="9"/>
      <c r="E23" s="9"/>
      <c r="F23" s="9"/>
      <c r="G23" s="9"/>
      <c r="H23" s="9"/>
    </row>
    <row r="24" customFormat="false" ht="48" hidden="false" customHeight="true" outlineLevel="0" collapsed="false">
      <c r="A24" s="12" t="s">
        <v>202</v>
      </c>
      <c r="B24" s="13"/>
      <c r="C24" s="13"/>
      <c r="D24" s="13"/>
      <c r="E24" s="13"/>
      <c r="F24" s="13"/>
      <c r="G24" s="13"/>
      <c r="H24" s="13"/>
    </row>
    <row r="25" customFormat="false" ht="48" hidden="false" customHeight="true" outlineLevel="0" collapsed="false">
      <c r="A25" s="12" t="s">
        <v>203</v>
      </c>
      <c r="B25" s="13"/>
      <c r="C25" s="13"/>
      <c r="D25" s="13"/>
      <c r="E25" s="13"/>
      <c r="F25" s="13"/>
      <c r="G25" s="13"/>
      <c r="H25" s="13"/>
    </row>
    <row r="26" customFormat="false" ht="36" hidden="false" customHeight="true" outlineLevel="0" collapsed="false">
      <c r="A26" s="12" t="s">
        <v>204</v>
      </c>
      <c r="B26" s="13"/>
      <c r="C26" s="13"/>
      <c r="D26" s="13"/>
      <c r="E26" s="13"/>
      <c r="F26" s="13"/>
      <c r="G26" s="13"/>
      <c r="H26" s="13"/>
    </row>
  </sheetData>
  <mergeCells count="11">
    <mergeCell ref="A1:H1"/>
    <mergeCell ref="A2:H2"/>
    <mergeCell ref="A4:H4"/>
    <mergeCell ref="B5:H5"/>
    <mergeCell ref="B6:H6"/>
    <mergeCell ref="B7:H7"/>
    <mergeCell ref="A10:H10"/>
    <mergeCell ref="A23:H23"/>
    <mergeCell ref="B24:H24"/>
    <mergeCell ref="B25:H25"/>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3046875" defaultRowHeight="15" customHeight="false"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7" min="3" style="0" width="18"/>
    <col collapsed="false" customWidth="true" hidden="false" outlineLevel="0" max="8" min="8" style="0" width="14"/>
  </cols>
  <sheetData>
    <row r="1" customFormat="false" ht="33.75" hidden="false" customHeight="true" outlineLevel="0" collapsed="false">
      <c r="A1" s="18" t="s">
        <v>205</v>
      </c>
      <c r="B1" s="18"/>
      <c r="C1" s="18"/>
      <c r="D1" s="18"/>
      <c r="E1" s="18"/>
      <c r="F1" s="18"/>
      <c r="G1" s="18"/>
      <c r="H1" s="18"/>
    </row>
    <row r="2" customFormat="false" ht="25.5" hidden="false" customHeight="true" outlineLevel="0" collapsed="false">
      <c r="A2" s="21" t="s">
        <v>206</v>
      </c>
      <c r="B2" s="21"/>
      <c r="C2" s="21"/>
      <c r="D2" s="21"/>
      <c r="E2" s="21"/>
      <c r="F2" s="21"/>
      <c r="G2" s="21"/>
      <c r="H2" s="21"/>
    </row>
    <row r="4" customFormat="false" ht="24" hidden="false" customHeight="true" outlineLevel="0" collapsed="false">
      <c r="A4" s="9" t="s">
        <v>207</v>
      </c>
      <c r="B4" s="9"/>
      <c r="C4" s="9"/>
      <c r="D4" s="9"/>
      <c r="E4" s="9"/>
      <c r="F4" s="9"/>
      <c r="G4" s="9"/>
      <c r="H4" s="9"/>
    </row>
    <row r="5" customFormat="false" ht="24" hidden="false" customHeight="true" outlineLevel="0" collapsed="false">
      <c r="A5" s="12" t="s">
        <v>208</v>
      </c>
      <c r="B5" s="20" t="s">
        <v>209</v>
      </c>
      <c r="C5" s="20"/>
      <c r="D5" s="20"/>
      <c r="E5" s="20"/>
      <c r="F5" s="20"/>
      <c r="G5" s="20"/>
      <c r="H5" s="20"/>
    </row>
    <row r="6" customFormat="false" ht="49.5" hidden="false" customHeight="true" outlineLevel="0" collapsed="false">
      <c r="A6" s="26" t="s">
        <v>210</v>
      </c>
      <c r="B6" s="13"/>
      <c r="C6" s="13"/>
      <c r="D6" s="13"/>
      <c r="E6" s="13"/>
      <c r="F6" s="13"/>
      <c r="G6" s="13"/>
      <c r="H6" s="13"/>
    </row>
    <row r="7" customFormat="false" ht="7.5" hidden="false" customHeight="true" outlineLevel="0" collapsed="false"/>
    <row r="8" customFormat="false" ht="24" hidden="false" customHeight="true" outlineLevel="0" collapsed="false">
      <c r="A8" s="12" t="s">
        <v>211</v>
      </c>
      <c r="B8" s="20" t="s">
        <v>212</v>
      </c>
      <c r="C8" s="20"/>
      <c r="D8" s="20"/>
      <c r="E8" s="20"/>
      <c r="F8" s="20"/>
      <c r="G8" s="20"/>
      <c r="H8" s="20"/>
    </row>
    <row r="9" customFormat="false" ht="49.5" hidden="false" customHeight="true" outlineLevel="0" collapsed="false">
      <c r="A9" s="27" t="s">
        <v>213</v>
      </c>
      <c r="B9" s="13"/>
      <c r="C9" s="13"/>
      <c r="D9" s="13"/>
      <c r="E9" s="13"/>
      <c r="F9" s="13"/>
      <c r="G9" s="13"/>
      <c r="H9" s="13"/>
    </row>
    <row r="10" customFormat="false" ht="7.5" hidden="false" customHeight="true" outlineLevel="0" collapsed="false"/>
    <row r="11" customFormat="false" ht="24" hidden="false" customHeight="true" outlineLevel="0" collapsed="false">
      <c r="A11" s="9" t="s">
        <v>214</v>
      </c>
      <c r="B11" s="9"/>
      <c r="C11" s="9"/>
      <c r="D11" s="9"/>
      <c r="E11" s="9"/>
      <c r="F11" s="9"/>
      <c r="G11" s="9"/>
      <c r="H11" s="9"/>
    </row>
    <row r="12" customFormat="false" ht="21.75" hidden="false" customHeight="true" outlineLevel="0" collapsed="false">
      <c r="A12" s="4" t="s">
        <v>215</v>
      </c>
      <c r="B12" s="4"/>
      <c r="C12" s="4"/>
      <c r="D12" s="4" t="s">
        <v>216</v>
      </c>
      <c r="E12" s="4"/>
      <c r="F12" s="4" t="s">
        <v>217</v>
      </c>
      <c r="G12" s="4"/>
      <c r="H12" s="4"/>
    </row>
    <row r="13" customFormat="false" ht="39.75" hidden="false" customHeight="true" outlineLevel="0" collapsed="false">
      <c r="A13" s="28" t="s">
        <v>218</v>
      </c>
      <c r="B13" s="28"/>
      <c r="C13" s="28"/>
      <c r="D13" s="20" t="s">
        <v>219</v>
      </c>
      <c r="E13" s="20"/>
      <c r="F13" s="13"/>
      <c r="G13" s="13"/>
      <c r="H13" s="13"/>
    </row>
    <row r="14" customFormat="false" ht="39.75" hidden="false" customHeight="true" outlineLevel="0" collapsed="false">
      <c r="A14" s="28" t="s">
        <v>220</v>
      </c>
      <c r="B14" s="28"/>
      <c r="C14" s="28"/>
      <c r="D14" s="20" t="s">
        <v>221</v>
      </c>
      <c r="E14" s="20"/>
      <c r="F14" s="13"/>
      <c r="G14" s="13"/>
      <c r="H14" s="13"/>
    </row>
    <row r="15" customFormat="false" ht="39.75" hidden="false" customHeight="true" outlineLevel="0" collapsed="false">
      <c r="A15" s="28" t="s">
        <v>222</v>
      </c>
      <c r="B15" s="28"/>
      <c r="C15" s="28"/>
      <c r="D15" s="20" t="s">
        <v>223</v>
      </c>
      <c r="E15" s="20"/>
      <c r="F15" s="13"/>
      <c r="G15" s="13"/>
      <c r="H15" s="13"/>
    </row>
    <row r="16" customFormat="false" ht="7.5" hidden="false" customHeight="true" outlineLevel="0" collapsed="false"/>
    <row r="17" customFormat="false" ht="24" hidden="false" customHeight="true" outlineLevel="0" collapsed="false">
      <c r="A17" s="9" t="s">
        <v>224</v>
      </c>
      <c r="B17" s="9"/>
      <c r="C17" s="9"/>
      <c r="D17" s="9"/>
      <c r="E17" s="9"/>
      <c r="F17" s="9"/>
      <c r="G17" s="9"/>
      <c r="H17" s="9"/>
    </row>
    <row r="18" customFormat="false" ht="27.75" hidden="false" customHeight="true" outlineLevel="0" collapsed="false">
      <c r="A18" s="12" t="s">
        <v>225</v>
      </c>
      <c r="B18" s="12"/>
      <c r="C18" s="12"/>
      <c r="D18" s="20" t="s">
        <v>226</v>
      </c>
      <c r="E18" s="20"/>
      <c r="F18" s="13"/>
      <c r="G18" s="13"/>
      <c r="H18" s="13"/>
    </row>
    <row r="19" customFormat="false" ht="27.75" hidden="false" customHeight="true" outlineLevel="0" collapsed="false">
      <c r="A19" s="12" t="s">
        <v>227</v>
      </c>
      <c r="B19" s="12"/>
      <c r="C19" s="12"/>
      <c r="D19" s="20" t="s">
        <v>228</v>
      </c>
      <c r="E19" s="20"/>
      <c r="F19" s="13"/>
      <c r="G19" s="13"/>
      <c r="H19" s="13"/>
    </row>
    <row r="20" customFormat="false" ht="27.75" hidden="false" customHeight="true" outlineLevel="0" collapsed="false">
      <c r="A20" s="12" t="s">
        <v>229</v>
      </c>
      <c r="B20" s="12"/>
      <c r="C20" s="12"/>
      <c r="D20" s="20" t="s">
        <v>230</v>
      </c>
      <c r="E20" s="20"/>
      <c r="F20" s="13"/>
      <c r="G20" s="13"/>
      <c r="H20" s="13"/>
    </row>
    <row r="21" customFormat="false" ht="27.75" hidden="false" customHeight="true" outlineLevel="0" collapsed="false">
      <c r="A21" s="12" t="s">
        <v>231</v>
      </c>
      <c r="B21" s="12"/>
      <c r="C21" s="12"/>
      <c r="D21" s="20" t="s">
        <v>232</v>
      </c>
      <c r="E21" s="20"/>
      <c r="F21" s="13"/>
      <c r="G21" s="13"/>
      <c r="H21" s="13"/>
    </row>
    <row r="22" customFormat="false" ht="27.75" hidden="false" customHeight="true" outlineLevel="0" collapsed="false">
      <c r="A22" s="12" t="s">
        <v>233</v>
      </c>
      <c r="B22" s="12"/>
      <c r="C22" s="12"/>
      <c r="D22" s="20" t="s">
        <v>234</v>
      </c>
      <c r="E22" s="20"/>
      <c r="F22" s="13"/>
      <c r="G22" s="13"/>
      <c r="H22" s="13"/>
    </row>
    <row r="23" customFormat="false" ht="27.75" hidden="false" customHeight="true" outlineLevel="0" collapsed="false">
      <c r="A23" s="12" t="s">
        <v>235</v>
      </c>
      <c r="B23" s="12"/>
      <c r="C23" s="12"/>
      <c r="D23" s="20" t="s">
        <v>236</v>
      </c>
      <c r="E23" s="20"/>
      <c r="F23" s="13"/>
      <c r="G23" s="13"/>
      <c r="H23" s="13"/>
    </row>
    <row r="24" customFormat="false" ht="27.75" hidden="false" customHeight="true" outlineLevel="0" collapsed="false">
      <c r="A24" s="12" t="s">
        <v>237</v>
      </c>
      <c r="B24" s="12"/>
      <c r="C24" s="12"/>
      <c r="D24" s="20" t="s">
        <v>238</v>
      </c>
      <c r="E24" s="20"/>
      <c r="F24" s="13"/>
      <c r="G24" s="13"/>
      <c r="H24" s="13"/>
    </row>
  </sheetData>
  <mergeCells count="42">
    <mergeCell ref="A1:H1"/>
    <mergeCell ref="A2:H2"/>
    <mergeCell ref="A4:H4"/>
    <mergeCell ref="B5:H5"/>
    <mergeCell ref="B6:H6"/>
    <mergeCell ref="B8:H8"/>
    <mergeCell ref="B9:H9"/>
    <mergeCell ref="A11:H11"/>
    <mergeCell ref="A12:C12"/>
    <mergeCell ref="D12:E12"/>
    <mergeCell ref="F12:H12"/>
    <mergeCell ref="A13:C13"/>
    <mergeCell ref="D13:E13"/>
    <mergeCell ref="F13:H13"/>
    <mergeCell ref="A14:C14"/>
    <mergeCell ref="D14:E14"/>
    <mergeCell ref="F14:H14"/>
    <mergeCell ref="A15:C15"/>
    <mergeCell ref="D15:E15"/>
    <mergeCell ref="F15:H15"/>
    <mergeCell ref="A17:H17"/>
    <mergeCell ref="A18:C18"/>
    <mergeCell ref="D18:E18"/>
    <mergeCell ref="F18:H18"/>
    <mergeCell ref="A19:C19"/>
    <mergeCell ref="D19:E19"/>
    <mergeCell ref="F19:H19"/>
    <mergeCell ref="A20:C20"/>
    <mergeCell ref="D20:E20"/>
    <mergeCell ref="F20:H20"/>
    <mergeCell ref="A21:C21"/>
    <mergeCell ref="D21:E21"/>
    <mergeCell ref="F21:H21"/>
    <mergeCell ref="A22:C22"/>
    <mergeCell ref="D22:E22"/>
    <mergeCell ref="F22:H22"/>
    <mergeCell ref="A23:C23"/>
    <mergeCell ref="D23:E23"/>
    <mergeCell ref="F23:H23"/>
    <mergeCell ref="A24:C24"/>
    <mergeCell ref="D24:E24"/>
    <mergeCell ref="F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42" activePane="bottomRight" state="frozen"/>
      <selection pane="topLeft" activeCell="A1" activeCellId="0" sqref="A1"/>
      <selection pane="topRight" activeCell="B1" activeCellId="0" sqref="B1"/>
      <selection pane="bottomLeft" activeCell="A42" activeCellId="0" sqref="A42"/>
      <selection pane="bottomRight" activeCell="A1" activeCellId="0" sqref="A1"/>
    </sheetView>
  </sheetViews>
  <sheetFormatPr defaultColWidth="8.3046875" defaultRowHeight="15" customHeight="fals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0"/>
    <col collapsed="false" customWidth="true" hidden="false" outlineLevel="0" max="4" min="4" style="0" width="18"/>
    <col collapsed="false" customWidth="true" hidden="false" outlineLevel="0" max="7" min="5" style="0" width="16"/>
    <col collapsed="false" customWidth="true" hidden="false" outlineLevel="0" max="8" min="8" style="0" width="12"/>
  </cols>
  <sheetData>
    <row r="1" customFormat="false" ht="33.75" hidden="false" customHeight="true" outlineLevel="0" collapsed="false">
      <c r="A1" s="18" t="s">
        <v>239</v>
      </c>
      <c r="B1" s="18"/>
      <c r="C1" s="18"/>
      <c r="D1" s="18"/>
      <c r="E1" s="18"/>
      <c r="F1" s="18"/>
      <c r="G1" s="18"/>
      <c r="H1" s="18"/>
    </row>
    <row r="3" customFormat="false" ht="24" hidden="false" customHeight="true" outlineLevel="0" collapsed="false">
      <c r="A3" s="9" t="s">
        <v>240</v>
      </c>
      <c r="B3" s="9"/>
      <c r="C3" s="9"/>
      <c r="D3" s="9"/>
      <c r="E3" s="9"/>
      <c r="F3" s="9"/>
      <c r="G3" s="9"/>
      <c r="H3" s="9"/>
    </row>
    <row r="4" customFormat="false" ht="21.75" hidden="false" customHeight="true" outlineLevel="0" collapsed="false">
      <c r="A4" s="4" t="s">
        <v>241</v>
      </c>
      <c r="B4" s="4" t="s">
        <v>242</v>
      </c>
      <c r="C4" s="4"/>
      <c r="D4" s="4" t="s">
        <v>243</v>
      </c>
      <c r="E4" s="4"/>
      <c r="F4" s="4" t="s">
        <v>244</v>
      </c>
      <c r="G4" s="4"/>
      <c r="H4" s="4" t="s">
        <v>245</v>
      </c>
    </row>
    <row r="5" customFormat="false" ht="31.5" hidden="false" customHeight="true" outlineLevel="0" collapsed="false">
      <c r="A5" s="13"/>
      <c r="B5" s="13"/>
      <c r="C5" s="13"/>
      <c r="D5" s="13"/>
      <c r="E5" s="13"/>
      <c r="F5" s="13"/>
      <c r="G5" s="13"/>
      <c r="H5" s="13"/>
    </row>
    <row r="6" customFormat="false" ht="31.5" hidden="false" customHeight="true" outlineLevel="0" collapsed="false">
      <c r="A6" s="7"/>
      <c r="B6" s="7"/>
      <c r="C6" s="7"/>
      <c r="D6" s="7"/>
      <c r="E6" s="7"/>
      <c r="F6" s="7"/>
      <c r="G6" s="7"/>
      <c r="H6" s="7"/>
    </row>
    <row r="7" customFormat="false" ht="31.5" hidden="false" customHeight="true" outlineLevel="0" collapsed="false">
      <c r="A7" s="13"/>
      <c r="B7" s="13"/>
      <c r="C7" s="13"/>
      <c r="D7" s="13"/>
      <c r="E7" s="13"/>
      <c r="F7" s="13"/>
      <c r="G7" s="13"/>
      <c r="H7" s="13"/>
    </row>
    <row r="8" customFormat="false" ht="31.5" hidden="false" customHeight="true" outlineLevel="0" collapsed="false">
      <c r="A8" s="7"/>
      <c r="B8" s="7"/>
      <c r="C8" s="7"/>
      <c r="D8" s="7"/>
      <c r="E8" s="7"/>
      <c r="F8" s="7"/>
      <c r="G8" s="7"/>
      <c r="H8" s="7"/>
    </row>
    <row r="9" customFormat="false" ht="31.5" hidden="false" customHeight="true" outlineLevel="0" collapsed="false">
      <c r="A9" s="13"/>
      <c r="B9" s="13"/>
      <c r="C9" s="13"/>
      <c r="D9" s="13"/>
      <c r="E9" s="13"/>
      <c r="F9" s="13"/>
      <c r="G9" s="13"/>
      <c r="H9" s="13"/>
    </row>
    <row r="10" customFormat="false" ht="31.5" hidden="false" customHeight="true" outlineLevel="0" collapsed="false">
      <c r="A10" s="7"/>
      <c r="B10" s="7"/>
      <c r="C10" s="7"/>
      <c r="D10" s="7"/>
      <c r="E10" s="7"/>
      <c r="F10" s="7"/>
      <c r="G10" s="7"/>
      <c r="H10" s="7"/>
    </row>
    <row r="11" customFormat="false" ht="31.5" hidden="false" customHeight="true" outlineLevel="0" collapsed="false">
      <c r="A11" s="13"/>
      <c r="B11" s="13"/>
      <c r="C11" s="13"/>
      <c r="D11" s="13"/>
      <c r="E11" s="13"/>
      <c r="F11" s="13"/>
      <c r="G11" s="13"/>
      <c r="H11" s="13"/>
    </row>
    <row r="12" customFormat="false" ht="31.5" hidden="false" customHeight="true" outlineLevel="0" collapsed="false">
      <c r="A12" s="7"/>
      <c r="B12" s="7"/>
      <c r="C12" s="7"/>
      <c r="D12" s="7"/>
      <c r="E12" s="7"/>
      <c r="F12" s="7"/>
      <c r="G12" s="7"/>
      <c r="H12" s="7"/>
    </row>
    <row r="13" customFormat="false" ht="31.5" hidden="false" customHeight="true" outlineLevel="0" collapsed="false">
      <c r="A13" s="13"/>
      <c r="B13" s="13"/>
      <c r="C13" s="13"/>
      <c r="D13" s="13"/>
      <c r="E13" s="13"/>
      <c r="F13" s="13"/>
      <c r="G13" s="13"/>
      <c r="H13" s="13"/>
    </row>
    <row r="14" customFormat="false" ht="31.5" hidden="false" customHeight="true" outlineLevel="0" collapsed="false">
      <c r="A14" s="7"/>
      <c r="B14" s="7"/>
      <c r="C14" s="7"/>
      <c r="D14" s="7"/>
      <c r="E14" s="7"/>
      <c r="F14" s="7"/>
      <c r="G14" s="7"/>
      <c r="H14" s="7"/>
    </row>
    <row r="15" customFormat="false" ht="7.5" hidden="false" customHeight="true" outlineLevel="0" collapsed="false"/>
    <row r="16" customFormat="false" ht="24" hidden="false" customHeight="true" outlineLevel="0" collapsed="false">
      <c r="A16" s="9" t="s">
        <v>246</v>
      </c>
      <c r="B16" s="9"/>
      <c r="C16" s="9"/>
      <c r="D16" s="9"/>
      <c r="E16" s="9"/>
      <c r="F16" s="9"/>
      <c r="G16" s="9"/>
      <c r="H16" s="9"/>
    </row>
    <row r="17" customFormat="false" ht="21.75" hidden="false" customHeight="true" outlineLevel="0" collapsed="false">
      <c r="A17" s="4" t="s">
        <v>247</v>
      </c>
      <c r="B17" s="4" t="s">
        <v>248</v>
      </c>
      <c r="C17" s="4"/>
      <c r="D17" s="4" t="s">
        <v>249</v>
      </c>
      <c r="E17" s="4" t="s">
        <v>250</v>
      </c>
      <c r="F17" s="4" t="s">
        <v>251</v>
      </c>
      <c r="G17" s="4" t="s">
        <v>252</v>
      </c>
      <c r="H17" s="4" t="s">
        <v>253</v>
      </c>
    </row>
    <row r="18" customFormat="false" ht="27.75" hidden="false" customHeight="true" outlineLevel="0" collapsed="false">
      <c r="A18" s="13" t="n">
        <v>1</v>
      </c>
      <c r="B18" s="13"/>
      <c r="C18" s="13"/>
      <c r="D18" s="13"/>
      <c r="E18" s="13"/>
      <c r="F18" s="13"/>
      <c r="G18" s="13"/>
      <c r="H18" s="13"/>
    </row>
    <row r="19" customFormat="false" ht="27.75" hidden="false" customHeight="true" outlineLevel="0" collapsed="false">
      <c r="A19" s="7" t="n">
        <v>2</v>
      </c>
      <c r="B19" s="7"/>
      <c r="C19" s="7"/>
      <c r="D19" s="7"/>
      <c r="E19" s="7"/>
      <c r="F19" s="7"/>
      <c r="G19" s="7"/>
      <c r="H19" s="7"/>
    </row>
    <row r="20" customFormat="false" ht="27.75" hidden="false" customHeight="true" outlineLevel="0" collapsed="false">
      <c r="A20" s="13" t="n">
        <v>3</v>
      </c>
      <c r="B20" s="13"/>
      <c r="C20" s="13"/>
      <c r="D20" s="13"/>
      <c r="E20" s="13"/>
      <c r="F20" s="13"/>
      <c r="G20" s="13"/>
      <c r="H20" s="13"/>
    </row>
    <row r="21" customFormat="false" ht="27.75" hidden="false" customHeight="true" outlineLevel="0" collapsed="false">
      <c r="A21" s="7" t="n">
        <v>4</v>
      </c>
      <c r="B21" s="7"/>
      <c r="C21" s="7"/>
      <c r="D21" s="7"/>
      <c r="E21" s="7"/>
      <c r="F21" s="7"/>
      <c r="G21" s="7"/>
      <c r="H21" s="7"/>
    </row>
    <row r="22" customFormat="false" ht="27.75" hidden="false" customHeight="true" outlineLevel="0" collapsed="false">
      <c r="A22" s="13" t="n">
        <v>5</v>
      </c>
      <c r="B22" s="13"/>
      <c r="C22" s="13"/>
      <c r="D22" s="13"/>
      <c r="E22" s="13"/>
      <c r="F22" s="13"/>
      <c r="G22" s="13"/>
      <c r="H22" s="13"/>
    </row>
    <row r="23" customFormat="false" ht="27.75" hidden="false" customHeight="true" outlineLevel="0" collapsed="false">
      <c r="A23" s="7" t="n">
        <v>6</v>
      </c>
      <c r="B23" s="7"/>
      <c r="C23" s="7"/>
      <c r="D23" s="7"/>
      <c r="E23" s="7"/>
      <c r="F23" s="7"/>
      <c r="G23" s="7"/>
      <c r="H23" s="7"/>
    </row>
    <row r="24" customFormat="false" ht="27.75" hidden="false" customHeight="true" outlineLevel="0" collapsed="false">
      <c r="A24" s="13" t="n">
        <v>7</v>
      </c>
      <c r="B24" s="13"/>
      <c r="C24" s="13"/>
      <c r="D24" s="13"/>
      <c r="E24" s="13"/>
      <c r="F24" s="13"/>
      <c r="G24" s="13"/>
      <c r="H24" s="13"/>
    </row>
    <row r="25" customFormat="false" ht="27.75" hidden="false" customHeight="true" outlineLevel="0" collapsed="false">
      <c r="A25" s="7" t="n">
        <v>8</v>
      </c>
      <c r="B25" s="7"/>
      <c r="C25" s="7"/>
      <c r="D25" s="7"/>
      <c r="E25" s="7"/>
      <c r="F25" s="7"/>
      <c r="G25" s="7"/>
      <c r="H25" s="7"/>
    </row>
  </sheetData>
  <mergeCells count="37">
    <mergeCell ref="A1:H1"/>
    <mergeCell ref="A3:H3"/>
    <mergeCell ref="B4:C4"/>
    <mergeCell ref="D4:E4"/>
    <mergeCell ref="F4:G4"/>
    <mergeCell ref="B5:C5"/>
    <mergeCell ref="D5:E5"/>
    <mergeCell ref="F5:G5"/>
    <mergeCell ref="B6:C6"/>
    <mergeCell ref="D6:E6"/>
    <mergeCell ref="F6:G6"/>
    <mergeCell ref="B7:C7"/>
    <mergeCell ref="D7:E7"/>
    <mergeCell ref="F7:G7"/>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A16:H16"/>
    <mergeCell ref="B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15" activePane="bottomRight" state="frozen"/>
      <selection pane="topLeft" activeCell="A1" activeCellId="0" sqref="A1"/>
      <selection pane="topRight" activeCell="B1" activeCellId="0" sqref="B1"/>
      <selection pane="bottomLeft" activeCell="A15" activeCellId="0" sqref="A15"/>
      <selection pane="bottomRight" activeCell="A1" activeCellId="0" sqref="A1"/>
    </sheetView>
  </sheetViews>
  <sheetFormatPr defaultColWidth="8.304687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2"/>
    <col collapsed="false" customWidth="true" hidden="false" outlineLevel="0" max="7" min="4" style="0" width="18"/>
    <col collapsed="false" customWidth="true" hidden="false" outlineLevel="0" max="8" min="8" style="0" width="14"/>
  </cols>
  <sheetData>
    <row r="1" customFormat="false" ht="33.75" hidden="false" customHeight="true" outlineLevel="0" collapsed="false">
      <c r="A1" s="18" t="s">
        <v>254</v>
      </c>
      <c r="B1" s="18"/>
      <c r="C1" s="18"/>
      <c r="D1" s="18"/>
      <c r="E1" s="18"/>
      <c r="F1" s="18"/>
      <c r="G1" s="18"/>
      <c r="H1" s="18"/>
    </row>
    <row r="3" customFormat="false" ht="24" hidden="false" customHeight="true" outlineLevel="0" collapsed="false">
      <c r="A3" s="9" t="s">
        <v>255</v>
      </c>
      <c r="B3" s="9"/>
      <c r="C3" s="9"/>
      <c r="D3" s="9"/>
      <c r="E3" s="9"/>
      <c r="F3" s="9"/>
      <c r="G3" s="9"/>
      <c r="H3" s="9"/>
    </row>
    <row r="4" customFormat="false" ht="21.75" hidden="false" customHeight="true" outlineLevel="0" collapsed="false">
      <c r="A4" s="4" t="s">
        <v>256</v>
      </c>
      <c r="B4" s="4"/>
      <c r="C4" s="4" t="s">
        <v>257</v>
      </c>
      <c r="D4" s="4" t="s">
        <v>258</v>
      </c>
      <c r="E4" s="4" t="s">
        <v>259</v>
      </c>
      <c r="F4" s="4" t="s">
        <v>252</v>
      </c>
      <c r="G4" s="4" t="s">
        <v>260</v>
      </c>
      <c r="H4" s="4" t="s">
        <v>261</v>
      </c>
    </row>
    <row r="5" customFormat="false" ht="31.5" hidden="false" customHeight="true" outlineLevel="0" collapsed="false">
      <c r="A5" s="15" t="s">
        <v>262</v>
      </c>
      <c r="B5" s="15"/>
      <c r="C5" s="13"/>
      <c r="D5" s="13"/>
      <c r="E5" s="13"/>
      <c r="F5" s="13"/>
      <c r="G5" s="13"/>
      <c r="H5" s="13"/>
    </row>
    <row r="6" customFormat="false" ht="31.5" hidden="false" customHeight="true" outlineLevel="0" collapsed="false">
      <c r="A6" s="10" t="s">
        <v>263</v>
      </c>
      <c r="B6" s="10"/>
      <c r="C6" s="13"/>
      <c r="D6" s="13"/>
      <c r="E6" s="13"/>
      <c r="F6" s="13"/>
      <c r="G6" s="13"/>
      <c r="H6" s="13"/>
    </row>
    <row r="7" customFormat="false" ht="31.5" hidden="false" customHeight="true" outlineLevel="0" collapsed="false">
      <c r="A7" s="29" t="s">
        <v>264</v>
      </c>
      <c r="B7" s="29"/>
      <c r="C7" s="13"/>
      <c r="D7" s="13"/>
      <c r="E7" s="13"/>
      <c r="F7" s="13"/>
      <c r="G7" s="13"/>
      <c r="H7" s="13"/>
    </row>
    <row r="8" customFormat="false" ht="7.5" hidden="false" customHeight="true" outlineLevel="0" collapsed="false"/>
    <row r="9" customFormat="false" ht="24" hidden="false" customHeight="true" outlineLevel="0" collapsed="false">
      <c r="A9" s="9" t="s">
        <v>265</v>
      </c>
      <c r="B9" s="9"/>
      <c r="C9" s="9"/>
      <c r="D9" s="9"/>
      <c r="E9" s="9"/>
      <c r="F9" s="9"/>
      <c r="G9" s="9"/>
      <c r="H9" s="9"/>
    </row>
    <row r="10" customFormat="false" ht="31.5" hidden="false" customHeight="true" outlineLevel="0" collapsed="false">
      <c r="A10" s="12" t="s">
        <v>266</v>
      </c>
      <c r="B10" s="20" t="s">
        <v>267</v>
      </c>
      <c r="C10" s="20"/>
      <c r="D10" s="13"/>
      <c r="E10" s="13"/>
      <c r="F10" s="13"/>
      <c r="G10" s="13"/>
      <c r="H10" s="13"/>
    </row>
    <row r="11" customFormat="false" ht="49.5" hidden="false" customHeight="true" outlineLevel="0" collapsed="false">
      <c r="A11" s="12" t="s">
        <v>268</v>
      </c>
      <c r="B11" s="13"/>
      <c r="C11" s="13"/>
      <c r="D11" s="13"/>
      <c r="E11" s="13"/>
      <c r="F11" s="13"/>
      <c r="G11" s="13"/>
      <c r="H11" s="13"/>
    </row>
    <row r="12" customFormat="false" ht="39.75" hidden="false" customHeight="true" outlineLevel="0" collapsed="false">
      <c r="A12" s="12" t="s">
        <v>269</v>
      </c>
      <c r="B12" s="13"/>
      <c r="C12" s="13"/>
      <c r="D12" s="13"/>
      <c r="E12" s="13"/>
      <c r="F12" s="13"/>
      <c r="G12" s="13"/>
      <c r="H12" s="13"/>
    </row>
  </sheetData>
  <mergeCells count="11">
    <mergeCell ref="A1:H1"/>
    <mergeCell ref="A3:H3"/>
    <mergeCell ref="A4:B4"/>
    <mergeCell ref="A5:B5"/>
    <mergeCell ref="A6:B6"/>
    <mergeCell ref="A7:B7"/>
    <mergeCell ref="A9:H9"/>
    <mergeCell ref="B10:C10"/>
    <mergeCell ref="D10:H10"/>
    <mergeCell ref="B11:H11"/>
    <mergeCell ref="B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304687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2"/>
    <col collapsed="false" customWidth="true" hidden="false" outlineLevel="0" max="4" min="4" style="0" width="50"/>
  </cols>
  <sheetData>
    <row r="1" customFormat="false" ht="33.75" hidden="false" customHeight="true" outlineLevel="0" collapsed="false">
      <c r="A1" s="18" t="s">
        <v>270</v>
      </c>
      <c r="B1" s="18"/>
      <c r="C1" s="18"/>
      <c r="D1" s="18"/>
    </row>
    <row r="3" customFormat="false" ht="24" hidden="false" customHeight="true" outlineLevel="0" collapsed="false">
      <c r="A3" s="9" t="s">
        <v>271</v>
      </c>
      <c r="B3" s="9"/>
      <c r="C3" s="9"/>
      <c r="D3" s="9"/>
    </row>
    <row r="4" customFormat="false" ht="21.75" hidden="false" customHeight="true" outlineLevel="0" collapsed="false">
      <c r="A4" s="4" t="s">
        <v>2</v>
      </c>
      <c r="B4" s="4" t="s">
        <v>272</v>
      </c>
      <c r="C4" s="4" t="s">
        <v>273</v>
      </c>
      <c r="D4" s="4" t="s">
        <v>38</v>
      </c>
    </row>
    <row r="5" customFormat="false" ht="31.5" hidden="false" customHeight="true" outlineLevel="0" collapsed="false">
      <c r="A5" s="17" t="n">
        <v>1</v>
      </c>
      <c r="B5" s="8" t="s">
        <v>274</v>
      </c>
      <c r="C5" s="20" t="s">
        <v>275</v>
      </c>
      <c r="D5" s="13" t="s">
        <v>276</v>
      </c>
    </row>
    <row r="6" customFormat="false" ht="31.5" hidden="false" customHeight="true" outlineLevel="0" collapsed="false">
      <c r="A6" s="10" t="n">
        <v>2</v>
      </c>
      <c r="B6" s="6" t="s">
        <v>277</v>
      </c>
      <c r="C6" s="20" t="s">
        <v>278</v>
      </c>
      <c r="D6" s="13" t="s">
        <v>276</v>
      </c>
    </row>
    <row r="7" customFormat="false" ht="31.5" hidden="false" customHeight="true" outlineLevel="0" collapsed="false">
      <c r="A7" s="17" t="n">
        <v>3</v>
      </c>
      <c r="B7" s="8" t="s">
        <v>279</v>
      </c>
      <c r="C7" s="20" t="s">
        <v>280</v>
      </c>
      <c r="D7" s="13" t="s">
        <v>276</v>
      </c>
    </row>
    <row r="8" customFormat="false" ht="31.5" hidden="false" customHeight="true" outlineLevel="0" collapsed="false">
      <c r="A8" s="10" t="n">
        <v>4</v>
      </c>
      <c r="B8" s="6" t="s">
        <v>281</v>
      </c>
      <c r="C8" s="20" t="s">
        <v>282</v>
      </c>
      <c r="D8" s="13" t="s">
        <v>276</v>
      </c>
    </row>
    <row r="9" customFormat="false" ht="31.5" hidden="false" customHeight="true" outlineLevel="0" collapsed="false">
      <c r="A9" s="17" t="n">
        <v>5</v>
      </c>
      <c r="B9" s="8" t="s">
        <v>283</v>
      </c>
      <c r="C9" s="20" t="s">
        <v>284</v>
      </c>
      <c r="D9" s="13" t="s">
        <v>276</v>
      </c>
    </row>
    <row r="10" customFormat="false" ht="31.5" hidden="false" customHeight="true" outlineLevel="0" collapsed="false">
      <c r="A10" s="10" t="n">
        <v>6</v>
      </c>
      <c r="B10" s="6" t="s">
        <v>285</v>
      </c>
      <c r="C10" s="20" t="s">
        <v>286</v>
      </c>
      <c r="D10" s="13" t="s">
        <v>276</v>
      </c>
    </row>
    <row r="11" customFormat="false" ht="31.5" hidden="false" customHeight="true" outlineLevel="0" collapsed="false">
      <c r="A11" s="17" t="n">
        <v>7</v>
      </c>
      <c r="B11" s="8" t="s">
        <v>287</v>
      </c>
      <c r="C11" s="20" t="s">
        <v>288</v>
      </c>
      <c r="D11" s="13" t="s">
        <v>276</v>
      </c>
    </row>
    <row r="12" customFormat="false" ht="31.5" hidden="false" customHeight="true" outlineLevel="0" collapsed="false">
      <c r="A12" s="10" t="n">
        <v>8</v>
      </c>
      <c r="B12" s="6" t="s">
        <v>289</v>
      </c>
      <c r="C12" s="20" t="s">
        <v>290</v>
      </c>
      <c r="D12" s="13" t="s">
        <v>276</v>
      </c>
    </row>
    <row r="13" customFormat="false" ht="31.5" hidden="false" customHeight="true" outlineLevel="0" collapsed="false">
      <c r="A13" s="17" t="n">
        <v>9</v>
      </c>
      <c r="B13" s="8" t="s">
        <v>291</v>
      </c>
      <c r="C13" s="20" t="s">
        <v>292</v>
      </c>
      <c r="D13" s="13" t="s">
        <v>276</v>
      </c>
    </row>
    <row r="14" customFormat="false" ht="31.5" hidden="false" customHeight="true" outlineLevel="0" collapsed="false">
      <c r="A14" s="10" t="n">
        <v>10</v>
      </c>
      <c r="B14" s="6" t="s">
        <v>293</v>
      </c>
      <c r="C14" s="20" t="s">
        <v>294</v>
      </c>
      <c r="D14" s="13" t="s">
        <v>276</v>
      </c>
    </row>
    <row r="15" customFormat="false" ht="31.5" hidden="false" customHeight="true" outlineLevel="0" collapsed="false">
      <c r="A15" s="17" t="n">
        <v>11</v>
      </c>
      <c r="B15" s="8" t="s">
        <v>295</v>
      </c>
      <c r="C15" s="20" t="s">
        <v>296</v>
      </c>
      <c r="D15" s="13" t="s">
        <v>276</v>
      </c>
    </row>
    <row r="16" customFormat="false" ht="7.5" hidden="false" customHeight="true" outlineLevel="0" collapsed="false"/>
    <row r="17" customFormat="false" ht="24" hidden="false" customHeight="true" outlineLevel="0" collapsed="false">
      <c r="A17" s="9" t="s">
        <v>297</v>
      </c>
      <c r="B17" s="9"/>
      <c r="C17" s="9"/>
      <c r="D17" s="9"/>
    </row>
    <row r="18" customFormat="false" ht="21.75" hidden="false" customHeight="true" outlineLevel="0" collapsed="false">
      <c r="A18" s="4" t="s">
        <v>61</v>
      </c>
      <c r="B18" s="4" t="s">
        <v>298</v>
      </c>
      <c r="C18" s="4" t="s">
        <v>299</v>
      </c>
      <c r="D18" s="4" t="s">
        <v>300</v>
      </c>
    </row>
    <row r="19" customFormat="false" ht="25.5" hidden="false" customHeight="true" outlineLevel="0" collapsed="false">
      <c r="A19" s="10" t="s">
        <v>301</v>
      </c>
      <c r="B19" s="5" t="s">
        <v>302</v>
      </c>
      <c r="C19" s="5" t="s">
        <v>303</v>
      </c>
      <c r="D19" s="13" t="s">
        <v>304</v>
      </c>
    </row>
    <row r="20" customFormat="false" ht="25.5" hidden="false" customHeight="true" outlineLevel="0" collapsed="false">
      <c r="A20" s="17" t="s">
        <v>305</v>
      </c>
      <c r="B20" s="7" t="s">
        <v>306</v>
      </c>
      <c r="C20" s="7" t="s">
        <v>307</v>
      </c>
      <c r="D20" s="13" t="s">
        <v>304</v>
      </c>
    </row>
    <row r="21" customFormat="false" ht="25.5" hidden="false" customHeight="true" outlineLevel="0" collapsed="false">
      <c r="A21" s="10" t="s">
        <v>308</v>
      </c>
      <c r="B21" s="5" t="s">
        <v>309</v>
      </c>
      <c r="C21" s="5" t="s">
        <v>310</v>
      </c>
      <c r="D21" s="13" t="s">
        <v>304</v>
      </c>
    </row>
    <row r="22" customFormat="false" ht="25.5" hidden="false" customHeight="true" outlineLevel="0" collapsed="false">
      <c r="A22" s="17" t="s">
        <v>311</v>
      </c>
      <c r="B22" s="7" t="s">
        <v>312</v>
      </c>
      <c r="C22" s="7" t="s">
        <v>313</v>
      </c>
      <c r="D22" s="13" t="s">
        <v>304</v>
      </c>
    </row>
  </sheetData>
  <mergeCells count="3">
    <mergeCell ref="A1:D1"/>
    <mergeCell ref="A3:D3"/>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F15" activeCellId="0" sqref="F15"/>
    </sheetView>
  </sheetViews>
  <sheetFormatPr defaultColWidth="8.304687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2"/>
    <col collapsed="false" customWidth="true" hidden="false" outlineLevel="0" max="6" min="4" style="0" width="14"/>
    <col collapsed="false" customWidth="true" hidden="false" outlineLevel="0" max="7" min="7" style="0" width="22"/>
  </cols>
  <sheetData>
    <row r="1" customFormat="false" ht="33.75" hidden="false" customHeight="true" outlineLevel="0" collapsed="false">
      <c r="A1" s="18" t="s">
        <v>314</v>
      </c>
      <c r="B1" s="18"/>
      <c r="C1" s="18"/>
      <c r="D1" s="18"/>
      <c r="E1" s="18"/>
      <c r="F1" s="18"/>
      <c r="G1" s="18"/>
    </row>
    <row r="3" customFormat="false" ht="24" hidden="false" customHeight="true" outlineLevel="0" collapsed="false">
      <c r="A3" s="9" t="s">
        <v>315</v>
      </c>
      <c r="B3" s="9"/>
      <c r="C3" s="9"/>
      <c r="D3" s="9"/>
      <c r="E3" s="9"/>
      <c r="F3" s="9"/>
      <c r="G3" s="9"/>
    </row>
    <row r="4" customFormat="false" ht="21.75" hidden="false" customHeight="true" outlineLevel="0" collapsed="false">
      <c r="A4" s="4" t="s">
        <v>5</v>
      </c>
      <c r="B4" s="4" t="s">
        <v>35</v>
      </c>
      <c r="C4" s="4"/>
      <c r="D4" s="4" t="s">
        <v>6</v>
      </c>
      <c r="E4" s="4" t="s">
        <v>316</v>
      </c>
      <c r="F4" s="4" t="s">
        <v>38</v>
      </c>
      <c r="G4" s="4" t="s">
        <v>317</v>
      </c>
    </row>
    <row r="5" customFormat="false" ht="30" hidden="false" customHeight="true" outlineLevel="0" collapsed="false">
      <c r="A5" s="10" t="s">
        <v>318</v>
      </c>
      <c r="B5" s="6" t="s">
        <v>319</v>
      </c>
      <c r="C5" s="6"/>
      <c r="D5" s="5" t="s">
        <v>10</v>
      </c>
      <c r="E5" s="13" t="s">
        <v>320</v>
      </c>
      <c r="F5" s="13" t="s">
        <v>321</v>
      </c>
      <c r="G5" s="13"/>
    </row>
    <row r="6" customFormat="false" ht="30" hidden="false" customHeight="true" outlineLevel="0" collapsed="false">
      <c r="A6" s="10" t="s">
        <v>13</v>
      </c>
      <c r="B6" s="6" t="s">
        <v>322</v>
      </c>
      <c r="C6" s="6"/>
      <c r="D6" s="5" t="s">
        <v>14</v>
      </c>
      <c r="E6" s="13" t="s">
        <v>320</v>
      </c>
      <c r="F6" s="13" t="s">
        <v>321</v>
      </c>
      <c r="G6" s="13"/>
    </row>
    <row r="7" customFormat="false" ht="30" hidden="false" customHeight="true" outlineLevel="0" collapsed="false">
      <c r="A7" s="10" t="s">
        <v>17</v>
      </c>
      <c r="B7" s="6" t="s">
        <v>323</v>
      </c>
      <c r="C7" s="6"/>
      <c r="D7" s="5" t="s">
        <v>18</v>
      </c>
      <c r="E7" s="13" t="s">
        <v>320</v>
      </c>
      <c r="F7" s="13" t="s">
        <v>321</v>
      </c>
      <c r="G7" s="13"/>
    </row>
    <row r="8" customFormat="false" ht="30" hidden="false" customHeight="true" outlineLevel="0" collapsed="false">
      <c r="A8" s="29" t="s">
        <v>21</v>
      </c>
      <c r="B8" s="12" t="s">
        <v>51</v>
      </c>
      <c r="C8" s="12"/>
      <c r="D8" s="13" t="s">
        <v>22</v>
      </c>
      <c r="E8" s="13" t="s">
        <v>320</v>
      </c>
      <c r="F8" s="13" t="s">
        <v>321</v>
      </c>
      <c r="G8" s="13"/>
    </row>
    <row r="9" customFormat="false" ht="30" hidden="false" customHeight="true" outlineLevel="0" collapsed="false">
      <c r="A9" s="17" t="s">
        <v>25</v>
      </c>
      <c r="B9" s="8" t="s">
        <v>55</v>
      </c>
      <c r="C9" s="8"/>
      <c r="D9" s="7" t="s">
        <v>26</v>
      </c>
      <c r="E9" s="13" t="s">
        <v>320</v>
      </c>
      <c r="F9" s="13" t="s">
        <v>321</v>
      </c>
      <c r="G9" s="13"/>
    </row>
    <row r="10" customFormat="false" ht="30" hidden="false" customHeight="true" outlineLevel="0" collapsed="false">
      <c r="A10" s="17" t="s">
        <v>29</v>
      </c>
      <c r="B10" s="8" t="s">
        <v>324</v>
      </c>
      <c r="C10" s="8"/>
      <c r="D10" s="7" t="s">
        <v>30</v>
      </c>
      <c r="E10" s="13" t="s">
        <v>320</v>
      </c>
      <c r="F10" s="13" t="s">
        <v>321</v>
      </c>
      <c r="G10" s="13"/>
    </row>
    <row r="11" customFormat="false" ht="7.5" hidden="false" customHeight="true" outlineLevel="0" collapsed="false"/>
    <row r="12" customFormat="false" ht="24" hidden="false" customHeight="true" outlineLevel="0" collapsed="false">
      <c r="A12" s="9" t="s">
        <v>325</v>
      </c>
      <c r="B12" s="9"/>
      <c r="C12" s="9"/>
      <c r="D12" s="9"/>
      <c r="E12" s="9"/>
      <c r="F12" s="9"/>
      <c r="G12" s="9"/>
    </row>
    <row r="13" customFormat="false" ht="21.75" hidden="false" customHeight="true" outlineLevel="0" collapsed="false">
      <c r="A13" s="4" t="s">
        <v>6</v>
      </c>
      <c r="B13" s="4" t="s">
        <v>326</v>
      </c>
      <c r="C13" s="4"/>
      <c r="D13" s="4" t="s">
        <v>327</v>
      </c>
      <c r="E13" s="4"/>
      <c r="F13" s="4" t="s">
        <v>328</v>
      </c>
      <c r="G13" s="4"/>
    </row>
    <row r="14" customFormat="false" ht="39.75" hidden="false" customHeight="true" outlineLevel="0" collapsed="false">
      <c r="A14" s="29" t="s">
        <v>10</v>
      </c>
      <c r="B14" s="13"/>
      <c r="C14" s="13"/>
      <c r="D14" s="13"/>
      <c r="E14" s="13"/>
      <c r="F14" s="13"/>
      <c r="G14" s="13"/>
    </row>
    <row r="15" customFormat="false" ht="39.75" hidden="false" customHeight="true" outlineLevel="0" collapsed="false">
      <c r="A15" s="17" t="s">
        <v>14</v>
      </c>
      <c r="B15" s="7"/>
      <c r="C15" s="7"/>
      <c r="D15" s="7"/>
      <c r="E15" s="7"/>
      <c r="F15" s="7"/>
      <c r="G15" s="7"/>
    </row>
    <row r="16" customFormat="false" ht="39.75" hidden="false" customHeight="true" outlineLevel="0" collapsed="false">
      <c r="A16" s="29" t="s">
        <v>18</v>
      </c>
      <c r="B16" s="13"/>
      <c r="C16" s="13"/>
      <c r="D16" s="13"/>
      <c r="E16" s="13"/>
      <c r="F16" s="13"/>
      <c r="G16" s="13"/>
    </row>
    <row r="17" customFormat="false" ht="39.75" hidden="false" customHeight="true" outlineLevel="0" collapsed="false">
      <c r="A17" s="17" t="s">
        <v>159</v>
      </c>
      <c r="B17" s="7"/>
      <c r="C17" s="7"/>
      <c r="D17" s="7"/>
      <c r="E17" s="7"/>
      <c r="F17" s="7"/>
      <c r="G17" s="7"/>
    </row>
    <row r="18" customFormat="false" ht="39.75" hidden="false" customHeight="true" outlineLevel="0" collapsed="false">
      <c r="A18" s="29" t="s">
        <v>163</v>
      </c>
      <c r="B18" s="13"/>
      <c r="C18" s="13"/>
      <c r="D18" s="13"/>
      <c r="E18" s="13"/>
      <c r="F18" s="13"/>
      <c r="G18" s="13"/>
    </row>
    <row r="19" customFormat="false" ht="39.75" hidden="false" customHeight="true" outlineLevel="0" collapsed="false">
      <c r="A19" s="17" t="s">
        <v>26</v>
      </c>
      <c r="B19" s="7"/>
      <c r="C19" s="7"/>
      <c r="D19" s="7"/>
      <c r="E19" s="7"/>
      <c r="F19" s="7"/>
      <c r="G19" s="7"/>
    </row>
    <row r="20" customFormat="false" ht="39.75" hidden="false" customHeight="true" outlineLevel="0" collapsed="false">
      <c r="A20" s="29" t="s">
        <v>169</v>
      </c>
      <c r="B20" s="13"/>
      <c r="C20" s="13"/>
      <c r="D20" s="13"/>
      <c r="E20" s="13"/>
      <c r="F20" s="13"/>
      <c r="G20" s="13"/>
    </row>
    <row r="21" customFormat="false" ht="39.75" hidden="false" customHeight="true" outlineLevel="0" collapsed="false">
      <c r="A21" s="17" t="s">
        <v>173</v>
      </c>
      <c r="B21" s="7"/>
      <c r="C21" s="7"/>
      <c r="D21" s="7"/>
      <c r="E21" s="7"/>
      <c r="F21" s="7"/>
      <c r="G21" s="7"/>
    </row>
  </sheetData>
  <mergeCells count="37">
    <mergeCell ref="A1:G1"/>
    <mergeCell ref="A3:G3"/>
    <mergeCell ref="B4:C4"/>
    <mergeCell ref="B5:C5"/>
    <mergeCell ref="B6:C6"/>
    <mergeCell ref="B7:C7"/>
    <mergeCell ref="B8:C8"/>
    <mergeCell ref="B9:C9"/>
    <mergeCell ref="B10:C10"/>
    <mergeCell ref="A12:G12"/>
    <mergeCell ref="B13:C13"/>
    <mergeCell ref="D13:E13"/>
    <mergeCell ref="F13:G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 ref="B21:C21"/>
    <mergeCell ref="D21:E21"/>
    <mergeCell ref="F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F2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276" activeCellId="0" sqref="E276"/>
    </sheetView>
  </sheetViews>
  <sheetFormatPr defaultColWidth="8.3046875" defaultRowHeight="15" customHeight="false" zeroHeight="false" outlineLevelRow="0" outlineLevelCol="0"/>
  <cols>
    <col collapsed="false" customWidth="true" hidden="false" outlineLevel="0" max="2" min="1" style="0" width="10.16"/>
    <col collapsed="false" customWidth="true" hidden="false" outlineLevel="0" max="3" min="3" style="0" width="13"/>
    <col collapsed="false" customWidth="true" hidden="false" outlineLevel="0" max="4" min="4" style="0" width="52"/>
    <col collapsed="false" customWidth="true" hidden="false" outlineLevel="0" max="5" min="5" style="0" width="20"/>
    <col collapsed="false" customWidth="true" hidden="false" outlineLevel="0" max="6" min="6" style="0" width="14"/>
  </cols>
  <sheetData>
    <row r="1" customFormat="false" ht="16.15" hidden="false" customHeight="true" outlineLevel="0" collapsed="false">
      <c r="A1" s="18" t="s">
        <v>329</v>
      </c>
      <c r="B1" s="18"/>
      <c r="C1" s="18"/>
      <c r="D1" s="18"/>
      <c r="E1" s="18"/>
      <c r="F1" s="18"/>
    </row>
    <row r="2" customFormat="false" ht="15" hidden="false" customHeight="true" outlineLevel="0" collapsed="false">
      <c r="A2" s="2" t="s">
        <v>330</v>
      </c>
      <c r="B2" s="2"/>
      <c r="C2" s="2"/>
      <c r="D2" s="2"/>
      <c r="E2" s="2"/>
      <c r="F2" s="2"/>
    </row>
    <row r="3" customFormat="false" ht="15" hidden="false" customHeight="true" outlineLevel="0" collapsed="false">
      <c r="A3" s="30" t="s">
        <v>331</v>
      </c>
      <c r="B3" s="30"/>
      <c r="C3" s="30"/>
      <c r="D3" s="30"/>
      <c r="E3" s="30"/>
      <c r="F3" s="30"/>
    </row>
    <row r="5" customFormat="false" ht="15" hidden="false" customHeight="true" outlineLevel="0" collapsed="false">
      <c r="A5" s="4" t="s">
        <v>2</v>
      </c>
      <c r="B5" s="4" t="s">
        <v>332</v>
      </c>
      <c r="C5" s="4" t="s">
        <v>61</v>
      </c>
      <c r="D5" s="4" t="s">
        <v>62</v>
      </c>
      <c r="E5" s="4" t="s">
        <v>333</v>
      </c>
      <c r="F5" s="4"/>
    </row>
    <row r="6" customFormat="false" ht="46.6" hidden="false" customHeight="true" outlineLevel="0" collapsed="false">
      <c r="A6" s="10" t="n">
        <v>1</v>
      </c>
      <c r="B6" s="5" t="s">
        <v>334</v>
      </c>
      <c r="C6" s="10" t="s">
        <v>335</v>
      </c>
      <c r="D6" s="5" t="s">
        <v>336</v>
      </c>
      <c r="E6" s="31" t="s">
        <v>337</v>
      </c>
      <c r="F6" s="31"/>
    </row>
    <row r="7" customFormat="false" ht="46.6" hidden="false" customHeight="true" outlineLevel="0" collapsed="false">
      <c r="A7" s="17" t="n">
        <v>2</v>
      </c>
      <c r="B7" s="7" t="s">
        <v>338</v>
      </c>
      <c r="C7" s="17" t="s">
        <v>339</v>
      </c>
      <c r="D7" s="7" t="s">
        <v>340</v>
      </c>
      <c r="E7" s="32" t="s">
        <v>341</v>
      </c>
      <c r="F7" s="32"/>
    </row>
    <row r="8" customFormat="false" ht="35.3" hidden="false" customHeight="true" outlineLevel="0" collapsed="false">
      <c r="A8" s="10" t="n">
        <v>3</v>
      </c>
      <c r="B8" s="5" t="s">
        <v>342</v>
      </c>
      <c r="C8" s="10" t="s">
        <v>343</v>
      </c>
      <c r="D8" s="5" t="s">
        <v>344</v>
      </c>
      <c r="E8" s="31" t="s">
        <v>345</v>
      </c>
      <c r="F8" s="31"/>
    </row>
    <row r="9" customFormat="false" ht="46.6" hidden="false" customHeight="true" outlineLevel="0" collapsed="false">
      <c r="A9" s="17" t="n">
        <v>4</v>
      </c>
      <c r="B9" s="7" t="s">
        <v>346</v>
      </c>
      <c r="C9" s="17" t="s">
        <v>347</v>
      </c>
      <c r="D9" s="7" t="s">
        <v>348</v>
      </c>
      <c r="E9" s="32" t="s">
        <v>349</v>
      </c>
      <c r="F9" s="32"/>
    </row>
    <row r="10" customFormat="false" ht="46.6" hidden="false" customHeight="true" outlineLevel="0" collapsed="false">
      <c r="A10" s="10" t="n">
        <v>5</v>
      </c>
      <c r="B10" s="5" t="s">
        <v>350</v>
      </c>
      <c r="C10" s="10" t="s">
        <v>351</v>
      </c>
      <c r="D10" s="5" t="s">
        <v>352</v>
      </c>
      <c r="E10" s="31" t="s">
        <v>353</v>
      </c>
      <c r="F10" s="31"/>
    </row>
    <row r="11" customFormat="false" ht="57.85" hidden="false" customHeight="true" outlineLevel="0" collapsed="false">
      <c r="A11" s="17" t="n">
        <v>6</v>
      </c>
      <c r="B11" s="7" t="s">
        <v>354</v>
      </c>
      <c r="C11" s="17" t="s">
        <v>355</v>
      </c>
      <c r="D11" s="7" t="s">
        <v>356</v>
      </c>
      <c r="E11" s="32" t="s">
        <v>357</v>
      </c>
      <c r="F11" s="32"/>
    </row>
    <row r="12" customFormat="false" ht="35.3" hidden="false" customHeight="true" outlineLevel="0" collapsed="false">
      <c r="A12" s="10" t="n">
        <v>7</v>
      </c>
      <c r="B12" s="5" t="s">
        <v>358</v>
      </c>
      <c r="C12" s="10" t="s">
        <v>359</v>
      </c>
      <c r="D12" s="5" t="s">
        <v>360</v>
      </c>
      <c r="E12" s="31" t="s">
        <v>361</v>
      </c>
      <c r="F12" s="31"/>
    </row>
    <row r="13" customFormat="false" ht="46.6" hidden="false" customHeight="true" outlineLevel="0" collapsed="false">
      <c r="A13" s="17" t="n">
        <v>8</v>
      </c>
      <c r="B13" s="7" t="s">
        <v>362</v>
      </c>
      <c r="C13" s="17" t="s">
        <v>363</v>
      </c>
      <c r="D13" s="7" t="s">
        <v>364</v>
      </c>
      <c r="E13" s="32" t="s">
        <v>365</v>
      </c>
      <c r="F13" s="32"/>
    </row>
    <row r="14" customFormat="false" ht="46.6" hidden="false" customHeight="true" outlineLevel="0" collapsed="false">
      <c r="A14" s="10" t="n">
        <v>9</v>
      </c>
      <c r="B14" s="5" t="s">
        <v>366</v>
      </c>
      <c r="C14" s="10" t="s">
        <v>367</v>
      </c>
      <c r="D14" s="5" t="s">
        <v>368</v>
      </c>
      <c r="E14" s="31" t="s">
        <v>369</v>
      </c>
      <c r="F14" s="31"/>
    </row>
    <row r="15" customFormat="false" ht="35.3" hidden="false" customHeight="true" outlineLevel="0" collapsed="false">
      <c r="A15" s="17" t="n">
        <v>10</v>
      </c>
      <c r="B15" s="7" t="s">
        <v>370</v>
      </c>
      <c r="C15" s="17" t="s">
        <v>371</v>
      </c>
      <c r="D15" s="7" t="s">
        <v>372</v>
      </c>
      <c r="E15" s="32" t="s">
        <v>373</v>
      </c>
      <c r="F15" s="32"/>
    </row>
    <row r="16" customFormat="false" ht="35.3" hidden="false" customHeight="true" outlineLevel="0" collapsed="false">
      <c r="A16" s="10" t="n">
        <v>11</v>
      </c>
      <c r="B16" s="5" t="s">
        <v>374</v>
      </c>
      <c r="C16" s="10" t="s">
        <v>375</v>
      </c>
      <c r="D16" s="5" t="s">
        <v>376</v>
      </c>
      <c r="E16" s="31" t="s">
        <v>377</v>
      </c>
      <c r="F16" s="31"/>
    </row>
    <row r="19" customFormat="false" ht="15" hidden="false" customHeight="true" outlineLevel="0" collapsed="false">
      <c r="A19" s="9" t="s">
        <v>378</v>
      </c>
      <c r="B19" s="9"/>
      <c r="C19" s="9"/>
      <c r="D19" s="9"/>
      <c r="E19" s="9"/>
      <c r="F19" s="9"/>
    </row>
    <row r="20" customFormat="false" ht="24.05" hidden="false" customHeight="true" outlineLevel="0" collapsed="false">
      <c r="A20" s="6" t="s">
        <v>337</v>
      </c>
      <c r="B20" s="6"/>
      <c r="C20" s="6" t="s">
        <v>379</v>
      </c>
      <c r="D20" s="33" t="s">
        <v>380</v>
      </c>
      <c r="E20" s="33"/>
      <c r="F20" s="33"/>
    </row>
    <row r="21" customFormat="false" ht="15" hidden="false" customHeight="true" outlineLevel="0" collapsed="false">
      <c r="A21" s="4" t="s">
        <v>117</v>
      </c>
      <c r="B21" s="4"/>
      <c r="C21" s="4" t="s">
        <v>381</v>
      </c>
      <c r="D21" s="4"/>
      <c r="E21" s="4"/>
      <c r="F21" s="4"/>
    </row>
    <row r="22" customFormat="false" ht="15" hidden="false" customHeight="true" outlineLevel="0" collapsed="false">
      <c r="A22" s="6" t="s">
        <v>382</v>
      </c>
      <c r="B22" s="6"/>
      <c r="C22" s="5" t="s">
        <v>383</v>
      </c>
      <c r="D22" s="5"/>
      <c r="E22" s="5"/>
      <c r="F22" s="5"/>
    </row>
    <row r="23" customFormat="false" ht="15" hidden="false" customHeight="true" outlineLevel="0" collapsed="false">
      <c r="A23" s="12" t="s">
        <v>384</v>
      </c>
      <c r="B23" s="12"/>
      <c r="C23" s="13" t="s">
        <v>385</v>
      </c>
      <c r="D23" s="13"/>
      <c r="E23" s="13"/>
      <c r="F23" s="13"/>
    </row>
    <row r="24" customFormat="false" ht="15" hidden="false" customHeight="true" outlineLevel="0" collapsed="false">
      <c r="A24" s="34" t="s">
        <v>386</v>
      </c>
      <c r="B24" s="34"/>
      <c r="C24" s="35" t="s">
        <v>387</v>
      </c>
      <c r="D24" s="35"/>
      <c r="E24" s="35"/>
      <c r="F24" s="35"/>
    </row>
    <row r="25" customFormat="false" ht="15" hidden="false" customHeight="true" outlineLevel="0" collapsed="false">
      <c r="A25" s="23" t="s">
        <v>388</v>
      </c>
      <c r="B25" s="23"/>
      <c r="C25" s="36" t="s">
        <v>389</v>
      </c>
      <c r="D25" s="36"/>
      <c r="E25" s="36"/>
      <c r="F25" s="36"/>
    </row>
    <row r="26" customFormat="false" ht="35.3" hidden="false" customHeight="true" outlineLevel="0" collapsed="false">
      <c r="A26" s="37" t="s">
        <v>390</v>
      </c>
      <c r="B26" s="37"/>
      <c r="C26" s="38" t="s">
        <v>391</v>
      </c>
      <c r="D26" s="38"/>
      <c r="E26" s="38"/>
      <c r="F26" s="38"/>
    </row>
    <row r="27" customFormat="false" ht="15" hidden="false" customHeight="true" outlineLevel="0" collapsed="false">
      <c r="A27" s="4" t="s">
        <v>392</v>
      </c>
      <c r="B27" s="4"/>
      <c r="C27" s="5" t="s">
        <v>393</v>
      </c>
      <c r="D27" s="5"/>
      <c r="E27" s="5"/>
      <c r="F27" s="5"/>
    </row>
    <row r="28" customFormat="false" ht="15" hidden="false" customHeight="true" outlineLevel="0" collapsed="false">
      <c r="A28" s="39"/>
      <c r="B28" s="39"/>
      <c r="C28" s="5" t="s">
        <v>394</v>
      </c>
      <c r="D28" s="5"/>
      <c r="E28" s="5"/>
      <c r="F28" s="5"/>
    </row>
    <row r="29" customFormat="false" ht="15" hidden="false" customHeight="true" outlineLevel="0" collapsed="false">
      <c r="A29" s="39"/>
      <c r="B29" s="39"/>
      <c r="C29" s="5" t="s">
        <v>395</v>
      </c>
      <c r="D29" s="5"/>
      <c r="E29" s="5"/>
      <c r="F29" s="5"/>
    </row>
    <row r="30" customFormat="false" ht="42.1" hidden="false" customHeight="true" outlineLevel="0" collapsed="false">
      <c r="A30" s="4" t="s">
        <v>396</v>
      </c>
      <c r="B30" s="4"/>
      <c r="C30" s="5" t="s">
        <v>397</v>
      </c>
      <c r="D30" s="5"/>
      <c r="E30" s="6" t="s">
        <v>398</v>
      </c>
      <c r="F30" s="40" t="s">
        <v>399</v>
      </c>
    </row>
    <row r="31" customFormat="false" ht="15" hidden="false" customHeight="true" outlineLevel="0" collapsed="false">
      <c r="A31" s="4" t="s">
        <v>400</v>
      </c>
      <c r="B31" s="4"/>
      <c r="C31" s="5" t="s">
        <v>401</v>
      </c>
      <c r="D31" s="5"/>
      <c r="E31" s="5"/>
      <c r="F31" s="5"/>
    </row>
    <row r="32" customFormat="false" ht="15" hidden="false" customHeight="true" outlineLevel="0" collapsed="false">
      <c r="A32" s="41" t="s">
        <v>402</v>
      </c>
      <c r="B32" s="41"/>
      <c r="C32" s="42" t="s">
        <v>403</v>
      </c>
      <c r="D32" s="42"/>
      <c r="E32" s="42"/>
      <c r="F32" s="42"/>
    </row>
    <row r="33" customFormat="false" ht="24.05" hidden="false" customHeight="true" outlineLevel="0" collapsed="false">
      <c r="A33" s="4" t="s">
        <v>404</v>
      </c>
      <c r="B33" s="4"/>
      <c r="C33" s="21" t="s">
        <v>405</v>
      </c>
      <c r="D33" s="21"/>
      <c r="E33" s="21"/>
      <c r="F33" s="21"/>
    </row>
    <row r="34" customFormat="false" ht="15" hidden="false" customHeight="true" outlineLevel="0" collapsed="false">
      <c r="A34" s="29" t="s">
        <v>406</v>
      </c>
      <c r="B34" s="29"/>
      <c r="C34" s="43" t="str">
        <f aca="false">HYPERLINK("https://scholar.google.com/scholar?q=customer+loyalty+program+service+literature+review+2020+2024","[1] Customer Loyalty Programs in Services: A Literature Review")</f>
        <v>[1] Customer Loyalty Programs in Services: A Literature Review</v>
      </c>
      <c r="D34" s="43"/>
      <c r="E34" s="43"/>
      <c r="F34" s="43"/>
    </row>
    <row r="35" customFormat="false" ht="15" hidden="false" customHeight="true" outlineLevel="0" collapsed="false">
      <c r="A35" s="17" t="s">
        <v>407</v>
      </c>
      <c r="B35" s="17"/>
      <c r="C35" s="44" t="str">
        <f aca="false">HYPERLINK("https://scholar.google.com/scholar?q=mobile+loyalty+app+customer+retention+satisfaction","[2] Impact of Mobile Loyalty Apps on Customer Retention")</f>
        <v>[2] Impact of Mobile Loyalty Apps on Customer Retention</v>
      </c>
      <c r="D35" s="44"/>
      <c r="E35" s="44"/>
      <c r="F35" s="44"/>
    </row>
    <row r="36" customFormat="false" ht="15" hidden="false" customHeight="true" outlineLevel="0" collapsed="false">
      <c r="A36" s="29" t="s">
        <v>408</v>
      </c>
      <c r="B36" s="29"/>
      <c r="C36" s="43" t="str">
        <f aca="false">HYPERLINK("https://scholar.google.com/scholar?q=tiered+loyalty+program+customer+behavior+response","[3] Tiered Loyalty Programs: How Do Customers Respond?")</f>
        <v>[3] Tiered Loyalty Programs: How Do Customers Respond?</v>
      </c>
      <c r="D36" s="43"/>
      <c r="E36" s="43"/>
      <c r="F36" s="43"/>
    </row>
    <row r="37" customFormat="false" ht="15" hidden="false" customHeight="true" outlineLevel="0" collapsed="false">
      <c r="A37" s="17" t="s">
        <v>409</v>
      </c>
      <c r="B37" s="17"/>
      <c r="C37" s="44" t="str">
        <f aca="false">HYPERLINK("https://scholar.google.com/scholar?q=digital+loyalty+program+vs+traditional+comparison+satisfaction","[4] Digital Loyalty Programs vs Traditional: A Comparison Study")</f>
        <v>[4] Digital Loyalty Programs vs Traditional: A Comparison Study</v>
      </c>
      <c r="D37" s="44"/>
      <c r="E37" s="44"/>
      <c r="F37" s="44"/>
    </row>
    <row r="38" customFormat="false" ht="15" hidden="false" customHeight="true" outlineLevel="0" collapsed="false">
      <c r="A38" s="29" t="s">
        <v>410</v>
      </c>
      <c r="B38" s="29"/>
      <c r="C38" s="43" t="str">
        <f aca="false">HYPERLINK("https://scholar.google.com/scholar?q=survey+method+user+experience+mobile+app+evaluation","[5] Survey Methods for User Experience in Mobile Apps")</f>
        <v>[5] Survey Methods for User Experience in Mobile Apps</v>
      </c>
      <c r="D38" s="43"/>
      <c r="E38" s="43"/>
      <c r="F38" s="43"/>
    </row>
    <row r="40" customFormat="false" ht="15" hidden="false" customHeight="true" outlineLevel="0" collapsed="false">
      <c r="A40" s="9" t="s">
        <v>411</v>
      </c>
      <c r="B40" s="9"/>
      <c r="C40" s="9"/>
      <c r="D40" s="9"/>
      <c r="E40" s="9"/>
      <c r="F40" s="9"/>
    </row>
    <row r="41" customFormat="false" ht="24.05" hidden="false" customHeight="true" outlineLevel="0" collapsed="false">
      <c r="A41" s="23" t="s">
        <v>341</v>
      </c>
      <c r="B41" s="23"/>
      <c r="C41" s="23" t="s">
        <v>379</v>
      </c>
      <c r="D41" s="45" t="s">
        <v>412</v>
      </c>
      <c r="E41" s="45"/>
      <c r="F41" s="45"/>
    </row>
    <row r="42" customFormat="false" ht="15" hidden="false" customHeight="true" outlineLevel="0" collapsed="false">
      <c r="A42" s="4" t="s">
        <v>117</v>
      </c>
      <c r="B42" s="4"/>
      <c r="C42" s="4" t="s">
        <v>381</v>
      </c>
      <c r="D42" s="4"/>
      <c r="E42" s="4"/>
      <c r="F42" s="4"/>
    </row>
    <row r="43" customFormat="false" ht="15" hidden="false" customHeight="true" outlineLevel="0" collapsed="false">
      <c r="A43" s="6" t="s">
        <v>382</v>
      </c>
      <c r="B43" s="6"/>
      <c r="C43" s="5" t="s">
        <v>413</v>
      </c>
      <c r="D43" s="5"/>
      <c r="E43" s="5"/>
      <c r="F43" s="5"/>
    </row>
    <row r="44" customFormat="false" ht="15" hidden="false" customHeight="true" outlineLevel="0" collapsed="false">
      <c r="A44" s="12" t="s">
        <v>384</v>
      </c>
      <c r="B44" s="12"/>
      <c r="C44" s="13" t="s">
        <v>414</v>
      </c>
      <c r="D44" s="13"/>
      <c r="E44" s="13"/>
      <c r="F44" s="13"/>
    </row>
    <row r="45" customFormat="false" ht="15" hidden="false" customHeight="true" outlineLevel="0" collapsed="false">
      <c r="A45" s="34" t="s">
        <v>386</v>
      </c>
      <c r="B45" s="34"/>
      <c r="C45" s="35" t="s">
        <v>415</v>
      </c>
      <c r="D45" s="35"/>
      <c r="E45" s="35"/>
      <c r="F45" s="35"/>
    </row>
    <row r="46" customFormat="false" ht="15" hidden="false" customHeight="true" outlineLevel="0" collapsed="false">
      <c r="A46" s="23" t="s">
        <v>388</v>
      </c>
      <c r="B46" s="23"/>
      <c r="C46" s="36" t="s">
        <v>416</v>
      </c>
      <c r="D46" s="36"/>
      <c r="E46" s="36"/>
      <c r="F46" s="36"/>
    </row>
    <row r="47" customFormat="false" ht="35.3" hidden="false" customHeight="true" outlineLevel="0" collapsed="false">
      <c r="A47" s="37" t="s">
        <v>390</v>
      </c>
      <c r="B47" s="37"/>
      <c r="C47" s="38" t="s">
        <v>417</v>
      </c>
      <c r="D47" s="38"/>
      <c r="E47" s="38"/>
      <c r="F47" s="38"/>
    </row>
    <row r="48" customFormat="false" ht="15" hidden="false" customHeight="true" outlineLevel="0" collapsed="false">
      <c r="A48" s="4" t="s">
        <v>392</v>
      </c>
      <c r="B48" s="4"/>
      <c r="C48" s="5" t="s">
        <v>418</v>
      </c>
      <c r="D48" s="5"/>
      <c r="E48" s="5"/>
      <c r="F48" s="5"/>
    </row>
    <row r="49" customFormat="false" ht="15" hidden="false" customHeight="true" outlineLevel="0" collapsed="false">
      <c r="A49" s="39"/>
      <c r="B49" s="39"/>
      <c r="C49" s="5" t="s">
        <v>419</v>
      </c>
      <c r="D49" s="5"/>
      <c r="E49" s="5"/>
      <c r="F49" s="5"/>
    </row>
    <row r="50" customFormat="false" ht="15" hidden="false" customHeight="true" outlineLevel="0" collapsed="false">
      <c r="A50" s="39"/>
      <c r="B50" s="39"/>
      <c r="C50" s="5" t="s">
        <v>420</v>
      </c>
      <c r="D50" s="5"/>
      <c r="E50" s="5"/>
      <c r="F50" s="5"/>
    </row>
    <row r="51" customFormat="false" ht="52.25" hidden="false" customHeight="true" outlineLevel="0" collapsed="false">
      <c r="A51" s="4" t="s">
        <v>396</v>
      </c>
      <c r="B51" s="4"/>
      <c r="C51" s="36" t="s">
        <v>421</v>
      </c>
      <c r="D51" s="36"/>
      <c r="E51" s="23" t="s">
        <v>398</v>
      </c>
      <c r="F51" s="46" t="s">
        <v>422</v>
      </c>
    </row>
    <row r="52" customFormat="false" ht="15" hidden="false" customHeight="true" outlineLevel="0" collapsed="false">
      <c r="A52" s="4" t="s">
        <v>400</v>
      </c>
      <c r="B52" s="4"/>
      <c r="C52" s="36" t="s">
        <v>423</v>
      </c>
      <c r="D52" s="36"/>
      <c r="E52" s="36"/>
      <c r="F52" s="36"/>
    </row>
    <row r="53" customFormat="false" ht="15" hidden="false" customHeight="true" outlineLevel="0" collapsed="false">
      <c r="A53" s="41" t="s">
        <v>402</v>
      </c>
      <c r="B53" s="41"/>
      <c r="C53" s="47" t="s">
        <v>424</v>
      </c>
      <c r="D53" s="47"/>
      <c r="E53" s="47"/>
      <c r="F53" s="47"/>
    </row>
    <row r="54" customFormat="false" ht="24.05" hidden="false" customHeight="true" outlineLevel="0" collapsed="false">
      <c r="A54" s="4" t="s">
        <v>404</v>
      </c>
      <c r="B54" s="4"/>
      <c r="C54" s="21" t="s">
        <v>405</v>
      </c>
      <c r="D54" s="21"/>
      <c r="E54" s="21"/>
      <c r="F54" s="21"/>
    </row>
    <row r="55" customFormat="false" ht="15" hidden="false" customHeight="true" outlineLevel="0" collapsed="false">
      <c r="A55" s="29" t="s">
        <v>406</v>
      </c>
      <c r="B55" s="29"/>
      <c r="C55" s="43" t="str">
        <f aca="false">HYPERLINK("https://scholar.google.com/scholar?q=AI+career+guidance+chatGPT+student+evaluation+usefulness","[1] AI-Assisted Career Guidance: A User Evaluation Study")</f>
        <v>[1] AI-Assisted Career Guidance: A User Evaluation Study</v>
      </c>
      <c r="D55" s="43"/>
      <c r="E55" s="43"/>
      <c r="F55" s="43"/>
    </row>
    <row r="56" customFormat="false" ht="15" hidden="false" customHeight="true" outlineLevel="0" collapsed="false">
      <c r="A56" s="17" t="s">
        <v>407</v>
      </c>
      <c r="B56" s="17"/>
      <c r="C56" s="44" t="str">
        <f aca="false">HYPERLINK("https://scholar.google.com/scholar?q=System+Usability+Scale+SUS+evaluation+software","[2] System Usability Scale (SUS): A Quick Reference Guide")</f>
        <v>[2] System Usability Scale (SUS): A Quick Reference Guide</v>
      </c>
      <c r="D56" s="44"/>
      <c r="E56" s="44"/>
      <c r="F56" s="44"/>
    </row>
    <row r="57" customFormat="false" ht="15" hidden="false" customHeight="true" outlineLevel="0" collapsed="false">
      <c r="A57" s="29" t="s">
        <v>408</v>
      </c>
      <c r="B57" s="29"/>
      <c r="C57" s="43" t="str">
        <f aca="false">HYPERLINK("https://scholar.google.com/scholar?q=ChatGPT+personalized+learning+education+opportunities","[3] ChatGPT for Personalized Learning: Opportunities and Challenges")</f>
        <v>[3] ChatGPT for Personalized Learning: Opportunities and Challenges</v>
      </c>
      <c r="D57" s="43"/>
      <c r="E57" s="43"/>
      <c r="F57" s="43"/>
    </row>
    <row r="58" customFormat="false" ht="15" hidden="false" customHeight="true" outlineLevel="0" collapsed="false">
      <c r="A58" s="17" t="s">
        <v>409</v>
      </c>
      <c r="B58" s="17"/>
      <c r="C58" s="44" t="str">
        <f aca="false">HYPERLINK("https://scholar.google.com/scholar?q=technology+acceptance+model+TAM+educational+system+students","[4] Technology Acceptance Model (TAM) in Educational Systems")</f>
        <v>[4] Technology Acceptance Model (TAM) in Educational Systems</v>
      </c>
      <c r="D58" s="44"/>
      <c r="E58" s="44"/>
      <c r="F58" s="44"/>
    </row>
    <row r="59" customFormat="false" ht="15" hidden="false" customHeight="true" outlineLevel="0" collapsed="false">
      <c r="A59" s="29" t="s">
        <v>410</v>
      </c>
      <c r="B59" s="29"/>
      <c r="C59" s="43" t="str">
        <f aca="false">HYPERLINK("https://scholar.google.com/scholar?q=learning+path+recommendation+software+engineering+students","[5] Learning Path Recommendation for Software Engineering Students")</f>
        <v>[5] Learning Path Recommendation for Software Engineering Students</v>
      </c>
      <c r="D59" s="43"/>
      <c r="E59" s="43"/>
      <c r="F59" s="43"/>
    </row>
    <row r="61" customFormat="false" ht="15" hidden="false" customHeight="true" outlineLevel="0" collapsed="false">
      <c r="A61" s="9" t="s">
        <v>425</v>
      </c>
      <c r="B61" s="9"/>
      <c r="C61" s="9"/>
      <c r="D61" s="9"/>
      <c r="E61" s="9"/>
      <c r="F61" s="9"/>
    </row>
    <row r="62" customFormat="false" ht="24.05" hidden="false" customHeight="true" outlineLevel="0" collapsed="false">
      <c r="A62" s="34" t="s">
        <v>345</v>
      </c>
      <c r="B62" s="34"/>
      <c r="C62" s="34" t="s">
        <v>379</v>
      </c>
      <c r="D62" s="48" t="s">
        <v>426</v>
      </c>
      <c r="E62" s="48"/>
      <c r="F62" s="48"/>
    </row>
    <row r="63" customFormat="false" ht="15" hidden="false" customHeight="true" outlineLevel="0" collapsed="false">
      <c r="A63" s="4" t="s">
        <v>117</v>
      </c>
      <c r="B63" s="4"/>
      <c r="C63" s="4" t="s">
        <v>381</v>
      </c>
      <c r="D63" s="4"/>
      <c r="E63" s="4"/>
      <c r="F63" s="4"/>
    </row>
    <row r="64" customFormat="false" ht="15" hidden="false" customHeight="true" outlineLevel="0" collapsed="false">
      <c r="A64" s="6" t="s">
        <v>382</v>
      </c>
      <c r="B64" s="6"/>
      <c r="C64" s="5" t="s">
        <v>427</v>
      </c>
      <c r="D64" s="5"/>
      <c r="E64" s="5"/>
      <c r="F64" s="5"/>
    </row>
    <row r="65" customFormat="false" ht="15" hidden="false" customHeight="true" outlineLevel="0" collapsed="false">
      <c r="A65" s="12" t="s">
        <v>384</v>
      </c>
      <c r="B65" s="12"/>
      <c r="C65" s="13" t="s">
        <v>428</v>
      </c>
      <c r="D65" s="13"/>
      <c r="E65" s="13"/>
      <c r="F65" s="13"/>
    </row>
    <row r="66" customFormat="false" ht="15" hidden="false" customHeight="true" outlineLevel="0" collapsed="false">
      <c r="A66" s="34" t="s">
        <v>386</v>
      </c>
      <c r="B66" s="34"/>
      <c r="C66" s="35" t="s">
        <v>429</v>
      </c>
      <c r="D66" s="35"/>
      <c r="E66" s="35"/>
      <c r="F66" s="35"/>
    </row>
    <row r="67" customFormat="false" ht="15" hidden="false" customHeight="true" outlineLevel="0" collapsed="false">
      <c r="A67" s="23" t="s">
        <v>388</v>
      </c>
      <c r="B67" s="23"/>
      <c r="C67" s="36" t="s">
        <v>430</v>
      </c>
      <c r="D67" s="36"/>
      <c r="E67" s="36"/>
      <c r="F67" s="36"/>
    </row>
    <row r="68" customFormat="false" ht="35.3" hidden="false" customHeight="true" outlineLevel="0" collapsed="false">
      <c r="A68" s="37" t="s">
        <v>390</v>
      </c>
      <c r="B68" s="37"/>
      <c r="C68" s="38" t="s">
        <v>431</v>
      </c>
      <c r="D68" s="38"/>
      <c r="E68" s="38"/>
      <c r="F68" s="38"/>
    </row>
    <row r="69" customFormat="false" ht="15" hidden="false" customHeight="true" outlineLevel="0" collapsed="false">
      <c r="A69" s="4" t="s">
        <v>392</v>
      </c>
      <c r="B69" s="4"/>
      <c r="C69" s="5" t="s">
        <v>432</v>
      </c>
      <c r="D69" s="5"/>
      <c r="E69" s="5"/>
      <c r="F69" s="5"/>
    </row>
    <row r="70" customFormat="false" ht="15" hidden="false" customHeight="true" outlineLevel="0" collapsed="false">
      <c r="A70" s="39"/>
      <c r="B70" s="39"/>
      <c r="C70" s="5" t="s">
        <v>433</v>
      </c>
      <c r="D70" s="5"/>
      <c r="E70" s="5"/>
      <c r="F70" s="5"/>
    </row>
    <row r="71" customFormat="false" ht="15" hidden="false" customHeight="true" outlineLevel="0" collapsed="false">
      <c r="A71" s="39"/>
      <c r="B71" s="39"/>
      <c r="C71" s="5" t="s">
        <v>434</v>
      </c>
      <c r="D71" s="5"/>
      <c r="E71" s="5"/>
      <c r="F71" s="5"/>
    </row>
    <row r="72" customFormat="false" ht="42.1" hidden="false" customHeight="true" outlineLevel="0" collapsed="false">
      <c r="A72" s="4" t="s">
        <v>396</v>
      </c>
      <c r="B72" s="4"/>
      <c r="C72" s="35" t="s">
        <v>435</v>
      </c>
      <c r="D72" s="35"/>
      <c r="E72" s="34" t="s">
        <v>398</v>
      </c>
      <c r="F72" s="49" t="s">
        <v>436</v>
      </c>
    </row>
    <row r="73" customFormat="false" ht="15" hidden="false" customHeight="true" outlineLevel="0" collapsed="false">
      <c r="A73" s="4" t="s">
        <v>400</v>
      </c>
      <c r="B73" s="4"/>
      <c r="C73" s="35" t="s">
        <v>437</v>
      </c>
      <c r="D73" s="35"/>
      <c r="E73" s="35"/>
      <c r="F73" s="35"/>
    </row>
    <row r="74" customFormat="false" ht="15" hidden="false" customHeight="true" outlineLevel="0" collapsed="false">
      <c r="A74" s="41" t="s">
        <v>402</v>
      </c>
      <c r="B74" s="41"/>
      <c r="C74" s="50" t="s">
        <v>438</v>
      </c>
      <c r="D74" s="50"/>
      <c r="E74" s="50"/>
      <c r="F74" s="50"/>
    </row>
    <row r="75" customFormat="false" ht="24.05" hidden="false" customHeight="true" outlineLevel="0" collapsed="false">
      <c r="A75" s="4" t="s">
        <v>404</v>
      </c>
      <c r="B75" s="4"/>
      <c r="C75" s="21" t="s">
        <v>405</v>
      </c>
      <c r="D75" s="21"/>
      <c r="E75" s="21"/>
      <c r="F75" s="21"/>
    </row>
    <row r="76" customFormat="false" ht="15" hidden="false" customHeight="true" outlineLevel="0" collapsed="false">
      <c r="A76" s="29" t="s">
        <v>406</v>
      </c>
      <c r="B76" s="29"/>
      <c r="C76" s="43" t="str">
        <f aca="false">HYPERLINK("https://scholar.google.com/scholar?q=usability+evaluation+methods+systematic+review+software","[1] Usability Evaluation Methods: A Systematic Literature Review")</f>
        <v>[1] Usability Evaluation Methods: A Systematic Literature Review</v>
      </c>
      <c r="D76" s="43"/>
      <c r="E76" s="43"/>
      <c r="F76" s="43"/>
    </row>
    <row r="77" customFormat="false" ht="15" hidden="false" customHeight="true" outlineLevel="0" collapsed="false">
      <c r="A77" s="17" t="s">
        <v>407</v>
      </c>
      <c r="B77" s="17"/>
      <c r="C77" s="44" t="str">
        <f aca="false">HYPERLINK("https://scholar.google.com/scholar?q=digital+event+management+system+manual+comparison+efficiency","[2] Comparing Manual vs Digital Event Management Systems")</f>
        <v>[2] Comparing Manual vs Digital Event Management Systems</v>
      </c>
      <c r="D77" s="44"/>
      <c r="E77" s="44"/>
      <c r="F77" s="44"/>
    </row>
    <row r="78" customFormat="false" ht="15" hidden="false" customHeight="true" outlineLevel="0" collapsed="false">
      <c r="A78" s="29" t="s">
        <v>408</v>
      </c>
      <c r="B78" s="29"/>
      <c r="C78" s="43" t="str">
        <f aca="false">HYPERLINK("https://scholar.google.com/scholar?q=think+aloud+protocol+usability+testing+software","[3] Think-Aloud Protocol in Software Usability Testing")</f>
        <v>[3] Think-Aloud Protocol in Software Usability Testing</v>
      </c>
      <c r="D78" s="43"/>
      <c r="E78" s="43"/>
      <c r="F78" s="43"/>
    </row>
    <row r="79" customFormat="false" ht="15" hidden="false" customHeight="true" outlineLevel="0" collapsed="false">
      <c r="A79" s="17" t="s">
        <v>409</v>
      </c>
      <c r="B79" s="17"/>
      <c r="C79" s="44" t="str">
        <f aca="false">HYPERLINK("https://scholar.google.com/scholar?q=tournament+management+software+design+evaluation+sports","[4] Tournament Management Software: Design and Evaluation")</f>
        <v>[4] Tournament Management Software: Design and Evaluation</v>
      </c>
      <c r="D79" s="44"/>
      <c r="E79" s="44"/>
      <c r="F79" s="44"/>
    </row>
    <row r="80" customFormat="false" ht="15" hidden="false" customHeight="true" outlineLevel="0" collapsed="false">
      <c r="A80" s="29" t="s">
        <v>410</v>
      </c>
      <c r="B80" s="29"/>
      <c r="C80" s="43" t="str">
        <f aca="false">HYPERLINK("https://scholar.google.com/scholar?q=user+centered+design+sports+management+application+UX","[5] User-Centered Design for Sports Management Applications")</f>
        <v>[5] User-Centered Design for Sports Management Applications</v>
      </c>
      <c r="D80" s="43"/>
      <c r="E80" s="43"/>
      <c r="F80" s="43"/>
    </row>
    <row r="82" customFormat="false" ht="15" hidden="false" customHeight="true" outlineLevel="0" collapsed="false">
      <c r="A82" s="9" t="s">
        <v>439</v>
      </c>
      <c r="B82" s="9"/>
      <c r="C82" s="9"/>
      <c r="D82" s="9"/>
      <c r="E82" s="9"/>
      <c r="F82" s="9"/>
    </row>
    <row r="83" customFormat="false" ht="35.3" hidden="false" customHeight="true" outlineLevel="0" collapsed="false">
      <c r="A83" s="51" t="s">
        <v>349</v>
      </c>
      <c r="B83" s="51"/>
      <c r="C83" s="51" t="s">
        <v>379</v>
      </c>
      <c r="D83" s="52" t="s">
        <v>440</v>
      </c>
      <c r="E83" s="52"/>
      <c r="F83" s="52"/>
    </row>
    <row r="84" customFormat="false" ht="15" hidden="false" customHeight="true" outlineLevel="0" collapsed="false">
      <c r="A84" s="4" t="s">
        <v>117</v>
      </c>
      <c r="B84" s="4"/>
      <c r="C84" s="4" t="s">
        <v>381</v>
      </c>
      <c r="D84" s="4"/>
      <c r="E84" s="4"/>
      <c r="F84" s="4"/>
    </row>
    <row r="85" customFormat="false" ht="15" hidden="false" customHeight="true" outlineLevel="0" collapsed="false">
      <c r="A85" s="6" t="s">
        <v>382</v>
      </c>
      <c r="B85" s="6"/>
      <c r="C85" s="5" t="s">
        <v>441</v>
      </c>
      <c r="D85" s="5"/>
      <c r="E85" s="5"/>
      <c r="F85" s="5"/>
    </row>
    <row r="86" customFormat="false" ht="15" hidden="false" customHeight="true" outlineLevel="0" collapsed="false">
      <c r="A86" s="12" t="s">
        <v>384</v>
      </c>
      <c r="B86" s="12"/>
      <c r="C86" s="13" t="s">
        <v>442</v>
      </c>
      <c r="D86" s="13"/>
      <c r="E86" s="13"/>
      <c r="F86" s="13"/>
    </row>
    <row r="87" customFormat="false" ht="15" hidden="false" customHeight="true" outlineLevel="0" collapsed="false">
      <c r="A87" s="34" t="s">
        <v>386</v>
      </c>
      <c r="B87" s="34"/>
      <c r="C87" s="35" t="s">
        <v>443</v>
      </c>
      <c r="D87" s="35"/>
      <c r="E87" s="35"/>
      <c r="F87" s="35"/>
    </row>
    <row r="88" customFormat="false" ht="15" hidden="false" customHeight="true" outlineLevel="0" collapsed="false">
      <c r="A88" s="23" t="s">
        <v>388</v>
      </c>
      <c r="B88" s="23"/>
      <c r="C88" s="36" t="s">
        <v>444</v>
      </c>
      <c r="D88" s="36"/>
      <c r="E88" s="36"/>
      <c r="F88" s="36"/>
    </row>
    <row r="89" customFormat="false" ht="35.3" hidden="false" customHeight="true" outlineLevel="0" collapsed="false">
      <c r="A89" s="37" t="s">
        <v>390</v>
      </c>
      <c r="B89" s="37"/>
      <c r="C89" s="38" t="s">
        <v>445</v>
      </c>
      <c r="D89" s="38"/>
      <c r="E89" s="38"/>
      <c r="F89" s="38"/>
    </row>
    <row r="90" customFormat="false" ht="15" hidden="false" customHeight="true" outlineLevel="0" collapsed="false">
      <c r="A90" s="4" t="s">
        <v>392</v>
      </c>
      <c r="B90" s="4"/>
      <c r="C90" s="5" t="s">
        <v>446</v>
      </c>
      <c r="D90" s="5"/>
      <c r="E90" s="5"/>
      <c r="F90" s="5"/>
    </row>
    <row r="91" customFormat="false" ht="15" hidden="false" customHeight="true" outlineLevel="0" collapsed="false">
      <c r="A91" s="39"/>
      <c r="B91" s="39"/>
      <c r="C91" s="5" t="s">
        <v>447</v>
      </c>
      <c r="D91" s="5"/>
      <c r="E91" s="5"/>
      <c r="F91" s="5"/>
    </row>
    <row r="92" customFormat="false" ht="15" hidden="false" customHeight="true" outlineLevel="0" collapsed="false">
      <c r="A92" s="39"/>
      <c r="B92" s="39"/>
      <c r="C92" s="5" t="s">
        <v>448</v>
      </c>
      <c r="D92" s="5"/>
      <c r="E92" s="5"/>
      <c r="F92" s="5"/>
    </row>
    <row r="93" customFormat="false" ht="42.1" hidden="false" customHeight="true" outlineLevel="0" collapsed="false">
      <c r="A93" s="4" t="s">
        <v>396</v>
      </c>
      <c r="B93" s="4"/>
      <c r="C93" s="53" t="s">
        <v>449</v>
      </c>
      <c r="D93" s="53"/>
      <c r="E93" s="51" t="s">
        <v>398</v>
      </c>
      <c r="F93" s="54" t="s">
        <v>450</v>
      </c>
    </row>
    <row r="94" customFormat="false" ht="15" hidden="false" customHeight="true" outlineLevel="0" collapsed="false">
      <c r="A94" s="4" t="s">
        <v>400</v>
      </c>
      <c r="B94" s="4"/>
      <c r="C94" s="53" t="s">
        <v>451</v>
      </c>
      <c r="D94" s="53"/>
      <c r="E94" s="53"/>
      <c r="F94" s="53"/>
    </row>
    <row r="95" customFormat="false" ht="15" hidden="false" customHeight="true" outlineLevel="0" collapsed="false">
      <c r="A95" s="41" t="s">
        <v>402</v>
      </c>
      <c r="B95" s="41"/>
      <c r="C95" s="55" t="s">
        <v>452</v>
      </c>
      <c r="D95" s="55"/>
      <c r="E95" s="55"/>
      <c r="F95" s="55"/>
    </row>
    <row r="96" customFormat="false" ht="24.05" hidden="false" customHeight="true" outlineLevel="0" collapsed="false">
      <c r="A96" s="4" t="s">
        <v>404</v>
      </c>
      <c r="B96" s="4"/>
      <c r="C96" s="21" t="s">
        <v>405</v>
      </c>
      <c r="D96" s="21"/>
      <c r="E96" s="21"/>
      <c r="F96" s="21"/>
    </row>
    <row r="97" customFormat="false" ht="15" hidden="false" customHeight="true" outlineLevel="0" collapsed="false">
      <c r="A97" s="29" t="s">
        <v>406</v>
      </c>
      <c r="B97" s="29"/>
      <c r="C97" s="43" t="str">
        <f aca="false">HYPERLINK("https://scholar.google.com/scholar?q=inter+rater+reliability+guide+ICC+Cohen+kappa+tutorial","[1] Inter-Rater Reliability: A Guide for Beginners")</f>
        <v>[1] Inter-Rater Reliability: A Guide for Beginners</v>
      </c>
      <c r="D97" s="43"/>
      <c r="E97" s="43"/>
      <c r="F97" s="43"/>
    </row>
    <row r="98" customFormat="false" ht="15" hidden="false" customHeight="true" outlineLevel="0" collapsed="false">
      <c r="A98" s="17" t="s">
        <v>407</v>
      </c>
      <c r="B98" s="17"/>
      <c r="C98" s="44" t="str">
        <f aca="false">HYPERLINK("https://scholar.google.com/scholar?q=intraclass+correlation+coefficient+ICC+explained+agreement","[2] Measuring Agreement: Intraclass Correlation Coefficient Explained")</f>
        <v>[2] Measuring Agreement: Intraclass Correlation Coefficient Explained</v>
      </c>
      <c r="D98" s="44"/>
      <c r="E98" s="44"/>
      <c r="F98" s="44"/>
    </row>
    <row r="99" customFormat="false" ht="15" hidden="false" customHeight="true" outlineLevel="0" collapsed="false">
      <c r="A99" s="29" t="s">
        <v>408</v>
      </c>
      <c r="B99" s="29"/>
      <c r="C99" s="43" t="str">
        <f aca="false">HYPERLINK("https://scholar.google.com/scholar?q=rubric+based+assessment+computing+education+reliability","[3] Rubric-Based Assessment in Computing Education")</f>
        <v>[3] Rubric-Based Assessment in Computing Education</v>
      </c>
      <c r="D99" s="43"/>
      <c r="E99" s="43"/>
      <c r="F99" s="43"/>
    </row>
    <row r="100" customFormat="false" ht="15" hidden="false" customHeight="true" outlineLevel="0" collapsed="false">
      <c r="A100" s="17" t="s">
        <v>409</v>
      </c>
      <c r="B100" s="17"/>
      <c r="C100" s="44" t="str">
        <f aca="false">HYPERLINK("https://scholar.google.com/scholar?q=scoring+consistency+student+competition+software+engineering+judge","[4] Scoring Consistency in Software Engineering Student Competitions")</f>
        <v>[4] Scoring Consistency in Software Engineering Student Competitions</v>
      </c>
      <c r="D100" s="44"/>
      <c r="E100" s="44"/>
      <c r="F100" s="44"/>
    </row>
    <row r="101" customFormat="false" ht="15" hidden="false" customHeight="true" outlineLevel="0" collapsed="false">
      <c r="A101" s="29" t="s">
        <v>410</v>
      </c>
      <c r="B101" s="29"/>
      <c r="C101" s="43" t="str">
        <f aca="false">HYPERLINK("https://scholar.google.com/scholar?q=Bland+Altman+method+agreement+rater+comparison","[5] Bland-Altman Method for Assessing Agreement Between Raters")</f>
        <v>[5] Bland-Altman Method for Assessing Agreement Between Raters</v>
      </c>
      <c r="D101" s="43"/>
      <c r="E101" s="43"/>
      <c r="F101" s="43"/>
    </row>
    <row r="103" customFormat="false" ht="15" hidden="false" customHeight="true" outlineLevel="0" collapsed="false">
      <c r="A103" s="9" t="s">
        <v>453</v>
      </c>
      <c r="B103" s="9"/>
      <c r="C103" s="9"/>
      <c r="D103" s="9"/>
      <c r="E103" s="9"/>
      <c r="F103" s="9"/>
    </row>
    <row r="104" customFormat="false" ht="24.05" hidden="false" customHeight="true" outlineLevel="0" collapsed="false">
      <c r="A104" s="6" t="s">
        <v>353</v>
      </c>
      <c r="B104" s="6"/>
      <c r="C104" s="6" t="s">
        <v>379</v>
      </c>
      <c r="D104" s="33" t="s">
        <v>454</v>
      </c>
      <c r="E104" s="33"/>
      <c r="F104" s="33"/>
    </row>
    <row r="105" customFormat="false" ht="15" hidden="false" customHeight="true" outlineLevel="0" collapsed="false">
      <c r="A105" s="4" t="s">
        <v>117</v>
      </c>
      <c r="B105" s="4"/>
      <c r="C105" s="4" t="s">
        <v>381</v>
      </c>
      <c r="D105" s="4"/>
      <c r="E105" s="4"/>
      <c r="F105" s="4"/>
    </row>
    <row r="106" customFormat="false" ht="15" hidden="false" customHeight="true" outlineLevel="0" collapsed="false">
      <c r="A106" s="6" t="s">
        <v>382</v>
      </c>
      <c r="B106" s="6"/>
      <c r="C106" s="5" t="s">
        <v>455</v>
      </c>
      <c r="D106" s="5"/>
      <c r="E106" s="5"/>
      <c r="F106" s="5"/>
    </row>
    <row r="107" customFormat="false" ht="15" hidden="false" customHeight="true" outlineLevel="0" collapsed="false">
      <c r="A107" s="12" t="s">
        <v>384</v>
      </c>
      <c r="B107" s="12"/>
      <c r="C107" s="13" t="s">
        <v>456</v>
      </c>
      <c r="D107" s="13"/>
      <c r="E107" s="13"/>
      <c r="F107" s="13"/>
    </row>
    <row r="108" customFormat="false" ht="15" hidden="false" customHeight="true" outlineLevel="0" collapsed="false">
      <c r="A108" s="34" t="s">
        <v>386</v>
      </c>
      <c r="B108" s="34"/>
      <c r="C108" s="35" t="s">
        <v>457</v>
      </c>
      <c r="D108" s="35"/>
      <c r="E108" s="35"/>
      <c r="F108" s="35"/>
    </row>
    <row r="109" customFormat="false" ht="15" hidden="false" customHeight="true" outlineLevel="0" collapsed="false">
      <c r="A109" s="23" t="s">
        <v>388</v>
      </c>
      <c r="B109" s="23"/>
      <c r="C109" s="36" t="s">
        <v>458</v>
      </c>
      <c r="D109" s="36"/>
      <c r="E109" s="36"/>
      <c r="F109" s="36"/>
    </row>
    <row r="110" customFormat="false" ht="35.3" hidden="false" customHeight="true" outlineLevel="0" collapsed="false">
      <c r="A110" s="37" t="s">
        <v>390</v>
      </c>
      <c r="B110" s="37"/>
      <c r="C110" s="38" t="s">
        <v>459</v>
      </c>
      <c r="D110" s="38"/>
      <c r="E110" s="38"/>
      <c r="F110" s="38"/>
    </row>
    <row r="111" customFormat="false" ht="15" hidden="false" customHeight="true" outlineLevel="0" collapsed="false">
      <c r="A111" s="4" t="s">
        <v>392</v>
      </c>
      <c r="B111" s="4"/>
      <c r="C111" s="5" t="s">
        <v>460</v>
      </c>
      <c r="D111" s="5"/>
      <c r="E111" s="5"/>
      <c r="F111" s="5"/>
    </row>
    <row r="112" customFormat="false" ht="15" hidden="false" customHeight="true" outlineLevel="0" collapsed="false">
      <c r="A112" s="39"/>
      <c r="B112" s="39"/>
      <c r="C112" s="5" t="s">
        <v>461</v>
      </c>
      <c r="D112" s="5"/>
      <c r="E112" s="5"/>
      <c r="F112" s="5"/>
    </row>
    <row r="113" customFormat="false" ht="15" hidden="false" customHeight="true" outlineLevel="0" collapsed="false">
      <c r="A113" s="39"/>
      <c r="B113" s="39"/>
      <c r="C113" s="5" t="s">
        <v>462</v>
      </c>
      <c r="D113" s="5"/>
      <c r="E113" s="5"/>
      <c r="F113" s="5"/>
    </row>
    <row r="114" customFormat="false" ht="42.1" hidden="false" customHeight="true" outlineLevel="0" collapsed="false">
      <c r="A114" s="4" t="s">
        <v>396</v>
      </c>
      <c r="B114" s="4"/>
      <c r="C114" s="5" t="s">
        <v>463</v>
      </c>
      <c r="D114" s="5"/>
      <c r="E114" s="6" t="s">
        <v>398</v>
      </c>
      <c r="F114" s="40" t="s">
        <v>464</v>
      </c>
    </row>
    <row r="115" customFormat="false" ht="15" hidden="false" customHeight="true" outlineLevel="0" collapsed="false">
      <c r="A115" s="4" t="s">
        <v>400</v>
      </c>
      <c r="B115" s="4"/>
      <c r="C115" s="5" t="s">
        <v>465</v>
      </c>
      <c r="D115" s="5"/>
      <c r="E115" s="5"/>
      <c r="F115" s="5"/>
    </row>
    <row r="116" customFormat="false" ht="15" hidden="false" customHeight="true" outlineLevel="0" collapsed="false">
      <c r="A116" s="41" t="s">
        <v>402</v>
      </c>
      <c r="B116" s="41"/>
      <c r="C116" s="42" t="s">
        <v>466</v>
      </c>
      <c r="D116" s="42"/>
      <c r="E116" s="42"/>
      <c r="F116" s="42"/>
    </row>
    <row r="117" customFormat="false" ht="24.05" hidden="false" customHeight="true" outlineLevel="0" collapsed="false">
      <c r="A117" s="4" t="s">
        <v>404</v>
      </c>
      <c r="B117" s="4"/>
      <c r="C117" s="21" t="s">
        <v>405</v>
      </c>
      <c r="D117" s="21"/>
      <c r="E117" s="21"/>
      <c r="F117" s="21"/>
    </row>
    <row r="118" customFormat="false" ht="15" hidden="false" customHeight="true" outlineLevel="0" collapsed="false">
      <c r="A118" s="29" t="s">
        <v>406</v>
      </c>
      <c r="B118" s="29"/>
      <c r="C118" s="43" t="str">
        <f aca="false">HYPERLINK("https://scholar.google.com/scholar?q=digital+workflow+management+creative+collaboration+team","[1] Digital Workflow Management for Creative Collaboration")</f>
        <v>[1] Digital Workflow Management for Creative Collaboration</v>
      </c>
      <c r="D118" s="43"/>
      <c r="E118" s="43"/>
      <c r="F118" s="43"/>
    </row>
    <row r="119" customFormat="false" ht="15" hidden="false" customHeight="true" outlineLevel="0" collapsed="false">
      <c r="A119" s="17" t="s">
        <v>407</v>
      </c>
      <c r="B119" s="17"/>
      <c r="C119" s="44" t="str">
        <f aca="false">HYPERLINK("https://scholar.google.com/scholar?q=pre+post+survey+design+HCI+usability+research","[2] Pre-Post Survey Design in HCI Research")</f>
        <v>[2] Pre-Post Survey Design in HCI Research</v>
      </c>
      <c r="D119" s="44"/>
      <c r="E119" s="44"/>
      <c r="F119" s="44"/>
    </row>
    <row r="120" customFormat="false" ht="15" hidden="false" customHeight="true" outlineLevel="0" collapsed="false">
      <c r="A120" s="29" t="s">
        <v>408</v>
      </c>
      <c r="B120" s="29"/>
      <c r="C120" s="43" t="str">
        <f aca="false">HYPERLINK("https://scholar.google.com/scholar?q=task+management+tool+team+productivity+comparison+study","[3] Task Management Tools and Team Productivity: A Comparison")</f>
        <v>[3] Task Management Tools and Team Productivity: A Comparison</v>
      </c>
      <c r="D120" s="43"/>
      <c r="E120" s="43"/>
      <c r="F120" s="43"/>
    </row>
    <row r="121" customFormat="false" ht="15" hidden="false" customHeight="true" outlineLevel="0" collapsed="false">
      <c r="A121" s="17" t="s">
        <v>409</v>
      </c>
      <c r="B121" s="17"/>
      <c r="C121" s="44" t="str">
        <f aca="false">HYPERLINK("https://scholar.google.com/scholar?q=semi+structured+interview+software+engineering+research+method","[4] Semi-Structured Interview Methods in Software Engineering Research")</f>
        <v>[4] Semi-Structured Interview Methods in Software Engineering Research</v>
      </c>
      <c r="D121" s="44"/>
      <c r="E121" s="44"/>
      <c r="F121" s="44"/>
    </row>
    <row r="122" customFormat="false" ht="15" hidden="false" customHeight="true" outlineLevel="0" collapsed="false">
      <c r="A122" s="29" t="s">
        <v>410</v>
      </c>
      <c r="B122" s="29"/>
      <c r="C122" s="43" t="str">
        <f aca="false">HYPERLINK("https://scholar.google.com/scholar?q=collaborative+tools+digital+content+creation+user+study","[5] Collaborative Tools in Digital Content Creation: User Study")</f>
        <v>[5] Collaborative Tools in Digital Content Creation: User Study</v>
      </c>
      <c r="D122" s="43"/>
      <c r="E122" s="43"/>
      <c r="F122" s="43"/>
    </row>
    <row r="124" customFormat="false" ht="15" hidden="false" customHeight="true" outlineLevel="0" collapsed="false">
      <c r="A124" s="9" t="s">
        <v>467</v>
      </c>
      <c r="B124" s="9"/>
      <c r="C124" s="9"/>
      <c r="D124" s="9"/>
      <c r="E124" s="9"/>
      <c r="F124" s="9"/>
    </row>
    <row r="125" customFormat="false" ht="24.05" hidden="false" customHeight="true" outlineLevel="0" collapsed="false">
      <c r="A125" s="23" t="s">
        <v>357</v>
      </c>
      <c r="B125" s="23"/>
      <c r="C125" s="23" t="s">
        <v>379</v>
      </c>
      <c r="D125" s="45" t="s">
        <v>468</v>
      </c>
      <c r="E125" s="45"/>
      <c r="F125" s="45"/>
    </row>
    <row r="126" customFormat="false" ht="15" hidden="false" customHeight="true" outlineLevel="0" collapsed="false">
      <c r="A126" s="4" t="s">
        <v>117</v>
      </c>
      <c r="B126" s="4"/>
      <c r="C126" s="4" t="s">
        <v>381</v>
      </c>
      <c r="D126" s="4"/>
      <c r="E126" s="4"/>
      <c r="F126" s="4"/>
    </row>
    <row r="127" customFormat="false" ht="15" hidden="false" customHeight="true" outlineLevel="0" collapsed="false">
      <c r="A127" s="6" t="s">
        <v>382</v>
      </c>
      <c r="B127" s="6"/>
      <c r="C127" s="5" t="s">
        <v>469</v>
      </c>
      <c r="D127" s="5"/>
      <c r="E127" s="5"/>
      <c r="F127" s="5"/>
    </row>
    <row r="128" customFormat="false" ht="15" hidden="false" customHeight="true" outlineLevel="0" collapsed="false">
      <c r="A128" s="12" t="s">
        <v>384</v>
      </c>
      <c r="B128" s="12"/>
      <c r="C128" s="13" t="s">
        <v>470</v>
      </c>
      <c r="D128" s="13"/>
      <c r="E128" s="13"/>
      <c r="F128" s="13"/>
    </row>
    <row r="129" customFormat="false" ht="15" hidden="false" customHeight="true" outlineLevel="0" collapsed="false">
      <c r="A129" s="34" t="s">
        <v>386</v>
      </c>
      <c r="B129" s="34"/>
      <c r="C129" s="35" t="s">
        <v>471</v>
      </c>
      <c r="D129" s="35"/>
      <c r="E129" s="35"/>
      <c r="F129" s="35"/>
    </row>
    <row r="130" customFormat="false" ht="15" hidden="false" customHeight="true" outlineLevel="0" collapsed="false">
      <c r="A130" s="23" t="s">
        <v>388</v>
      </c>
      <c r="B130" s="23"/>
      <c r="C130" s="36" t="s">
        <v>472</v>
      </c>
      <c r="D130" s="36"/>
      <c r="E130" s="36"/>
      <c r="F130" s="36"/>
    </row>
    <row r="131" customFormat="false" ht="35.3" hidden="false" customHeight="true" outlineLevel="0" collapsed="false">
      <c r="A131" s="37" t="s">
        <v>390</v>
      </c>
      <c r="B131" s="37"/>
      <c r="C131" s="38" t="s">
        <v>473</v>
      </c>
      <c r="D131" s="38"/>
      <c r="E131" s="38"/>
      <c r="F131" s="38"/>
    </row>
    <row r="132" customFormat="false" ht="15" hidden="false" customHeight="true" outlineLevel="0" collapsed="false">
      <c r="A132" s="4" t="s">
        <v>392</v>
      </c>
      <c r="B132" s="4"/>
      <c r="C132" s="5" t="s">
        <v>474</v>
      </c>
      <c r="D132" s="5"/>
      <c r="E132" s="5"/>
      <c r="F132" s="5"/>
    </row>
    <row r="133" customFormat="false" ht="24.05" hidden="false" customHeight="true" outlineLevel="0" collapsed="false">
      <c r="A133" s="39"/>
      <c r="B133" s="39"/>
      <c r="C133" s="5" t="s">
        <v>475</v>
      </c>
      <c r="D133" s="5"/>
      <c r="E133" s="5"/>
      <c r="F133" s="5"/>
    </row>
    <row r="134" customFormat="false" ht="15" hidden="false" customHeight="true" outlineLevel="0" collapsed="false">
      <c r="A134" s="39"/>
      <c r="B134" s="39"/>
      <c r="C134" s="5" t="s">
        <v>476</v>
      </c>
      <c r="D134" s="5"/>
      <c r="E134" s="5"/>
      <c r="F134" s="5"/>
    </row>
    <row r="135" customFormat="false" ht="62.4" hidden="false" customHeight="true" outlineLevel="0" collapsed="false">
      <c r="A135" s="4" t="s">
        <v>396</v>
      </c>
      <c r="B135" s="4"/>
      <c r="C135" s="36" t="s">
        <v>477</v>
      </c>
      <c r="D135" s="36"/>
      <c r="E135" s="23" t="s">
        <v>398</v>
      </c>
      <c r="F135" s="46" t="s">
        <v>478</v>
      </c>
    </row>
    <row r="136" customFormat="false" ht="15" hidden="false" customHeight="true" outlineLevel="0" collapsed="false">
      <c r="A136" s="4" t="s">
        <v>400</v>
      </c>
      <c r="B136" s="4"/>
      <c r="C136" s="36" t="s">
        <v>479</v>
      </c>
      <c r="D136" s="36"/>
      <c r="E136" s="36"/>
      <c r="F136" s="36"/>
    </row>
    <row r="137" customFormat="false" ht="15" hidden="false" customHeight="true" outlineLevel="0" collapsed="false">
      <c r="A137" s="41" t="s">
        <v>402</v>
      </c>
      <c r="B137" s="41"/>
      <c r="C137" s="47" t="s">
        <v>480</v>
      </c>
      <c r="D137" s="47"/>
      <c r="E137" s="47"/>
      <c r="F137" s="47"/>
    </row>
    <row r="138" customFormat="false" ht="24.05" hidden="false" customHeight="true" outlineLevel="0" collapsed="false">
      <c r="A138" s="4" t="s">
        <v>404</v>
      </c>
      <c r="B138" s="4"/>
      <c r="C138" s="21" t="s">
        <v>405</v>
      </c>
      <c r="D138" s="21"/>
      <c r="E138" s="21"/>
      <c r="F138" s="21"/>
    </row>
    <row r="139" customFormat="false" ht="15" hidden="false" customHeight="true" outlineLevel="0" collapsed="false">
      <c r="A139" s="29" t="s">
        <v>406</v>
      </c>
      <c r="B139" s="29"/>
      <c r="C139" s="43" t="str">
        <f aca="false">HYPERLINK("https://scholar.google.com/scholar?q=Semantic+Scholar+open+research+corpus+API+academic","[1] Semantic Scholar Open Research Corpus and API")</f>
        <v>[1] Semantic Scholar Open Research Corpus and API</v>
      </c>
      <c r="D139" s="43"/>
      <c r="E139" s="43"/>
      <c r="F139" s="43"/>
    </row>
    <row r="140" customFormat="false" ht="15" hidden="false" customHeight="true" outlineLevel="0" collapsed="false">
      <c r="A140" s="17" t="s">
        <v>407</v>
      </c>
      <c r="B140" s="17"/>
      <c r="C140" s="44" t="str">
        <f aca="false">HYPERLINK("https://scholar.google.com/scholar?q=bibliometric+visualization+VOSviewer+CiteSpace+comparison","[2] Bibliometric Visualization Tools: VOSviewer, CiteSpace – A Comparison")</f>
        <v>[2] Bibliometric Visualization Tools: VOSviewer, CiteSpace – A Comparison</v>
      </c>
      <c r="D140" s="44"/>
      <c r="E140" s="44"/>
      <c r="F140" s="44"/>
    </row>
    <row r="141" customFormat="false" ht="15" hidden="false" customHeight="true" outlineLevel="0" collapsed="false">
      <c r="A141" s="29" t="s">
        <v>408</v>
      </c>
      <c r="B141" s="29"/>
      <c r="C141" s="43" t="str">
        <f aca="false">HYPERLINK("https://scholar.google.com/scholar?q=research+trend+analysis+publication+data+bibliometrics","[3] Research Trend Analysis Using Publication Data")</f>
        <v>[3] Research Trend Analysis Using Publication Data</v>
      </c>
      <c r="D141" s="43"/>
      <c r="E141" s="43"/>
      <c r="F141" s="43"/>
    </row>
    <row r="142" customFormat="false" ht="15" hidden="false" customHeight="true" outlineLevel="0" collapsed="false">
      <c r="A142" s="17" t="s">
        <v>409</v>
      </c>
      <c r="B142" s="17"/>
      <c r="C142" s="44" t="str">
        <f aca="false">HYPERLINK("https://scholar.google.com/scholar?q=controlled+experiment+design+HCI+software+engineering+user+study","[4] Controlled Experiment Design in HCI and Software Engineering")</f>
        <v>[4] Controlled Experiment Design in HCI and Software Engineering</v>
      </c>
      <c r="D142" s="44"/>
      <c r="E142" s="44"/>
      <c r="F142" s="44"/>
    </row>
    <row r="143" customFormat="false" ht="15" hidden="false" customHeight="true" outlineLevel="0" collapsed="false">
      <c r="A143" s="29" t="s">
        <v>410</v>
      </c>
      <c r="B143" s="29"/>
      <c r="C143" s="43" t="str">
        <f aca="false">HYPERLINK("https://scholar.google.com/scholar?q=OpenAlex+open+index+scholarly+works+API+data","[5] OpenAlex: A Fully Open Index of Scholarly Works")</f>
        <v>[5] OpenAlex: A Fully Open Index of Scholarly Works</v>
      </c>
      <c r="D143" s="43"/>
      <c r="E143" s="43"/>
      <c r="F143" s="43"/>
    </row>
    <row r="145" customFormat="false" ht="15" hidden="false" customHeight="true" outlineLevel="0" collapsed="false">
      <c r="A145" s="9" t="s">
        <v>481</v>
      </c>
      <c r="B145" s="9"/>
      <c r="C145" s="9"/>
      <c r="D145" s="9"/>
      <c r="E145" s="9"/>
      <c r="F145" s="9"/>
    </row>
    <row r="146" customFormat="false" ht="24.05" hidden="false" customHeight="true" outlineLevel="0" collapsed="false">
      <c r="A146" s="34" t="s">
        <v>361</v>
      </c>
      <c r="B146" s="34"/>
      <c r="C146" s="34" t="s">
        <v>379</v>
      </c>
      <c r="D146" s="48" t="s">
        <v>482</v>
      </c>
      <c r="E146" s="48"/>
      <c r="F146" s="48"/>
    </row>
    <row r="147" customFormat="false" ht="15" hidden="false" customHeight="true" outlineLevel="0" collapsed="false">
      <c r="A147" s="4" t="s">
        <v>117</v>
      </c>
      <c r="B147" s="4"/>
      <c r="C147" s="4" t="s">
        <v>381</v>
      </c>
      <c r="D147" s="4"/>
      <c r="E147" s="4"/>
      <c r="F147" s="4"/>
    </row>
    <row r="148" customFormat="false" ht="15" hidden="false" customHeight="true" outlineLevel="0" collapsed="false">
      <c r="A148" s="6" t="s">
        <v>382</v>
      </c>
      <c r="B148" s="6"/>
      <c r="C148" s="5" t="s">
        <v>483</v>
      </c>
      <c r="D148" s="5"/>
      <c r="E148" s="5"/>
      <c r="F148" s="5"/>
    </row>
    <row r="149" customFormat="false" ht="15" hidden="false" customHeight="true" outlineLevel="0" collapsed="false">
      <c r="A149" s="12" t="s">
        <v>384</v>
      </c>
      <c r="B149" s="12"/>
      <c r="C149" s="13" t="s">
        <v>484</v>
      </c>
      <c r="D149" s="13"/>
      <c r="E149" s="13"/>
      <c r="F149" s="13"/>
    </row>
    <row r="150" customFormat="false" ht="15" hidden="false" customHeight="true" outlineLevel="0" collapsed="false">
      <c r="A150" s="34" t="s">
        <v>386</v>
      </c>
      <c r="B150" s="34"/>
      <c r="C150" s="35" t="s">
        <v>485</v>
      </c>
      <c r="D150" s="35"/>
      <c r="E150" s="35"/>
      <c r="F150" s="35"/>
    </row>
    <row r="151" customFormat="false" ht="15" hidden="false" customHeight="true" outlineLevel="0" collapsed="false">
      <c r="A151" s="23" t="s">
        <v>388</v>
      </c>
      <c r="B151" s="23"/>
      <c r="C151" s="36" t="s">
        <v>486</v>
      </c>
      <c r="D151" s="36"/>
      <c r="E151" s="36"/>
      <c r="F151" s="36"/>
    </row>
    <row r="152" customFormat="false" ht="35.3" hidden="false" customHeight="true" outlineLevel="0" collapsed="false">
      <c r="A152" s="37" t="s">
        <v>390</v>
      </c>
      <c r="B152" s="37"/>
      <c r="C152" s="38" t="s">
        <v>487</v>
      </c>
      <c r="D152" s="38"/>
      <c r="E152" s="38"/>
      <c r="F152" s="38"/>
    </row>
    <row r="153" customFormat="false" ht="15" hidden="false" customHeight="true" outlineLevel="0" collapsed="false">
      <c r="A153" s="4" t="s">
        <v>392</v>
      </c>
      <c r="B153" s="4"/>
      <c r="C153" s="5" t="s">
        <v>488</v>
      </c>
      <c r="D153" s="5"/>
      <c r="E153" s="5"/>
      <c r="F153" s="5"/>
    </row>
    <row r="154" customFormat="false" ht="15" hidden="false" customHeight="true" outlineLevel="0" collapsed="false">
      <c r="A154" s="39"/>
      <c r="B154" s="39"/>
      <c r="C154" s="5" t="s">
        <v>489</v>
      </c>
      <c r="D154" s="5"/>
      <c r="E154" s="5"/>
      <c r="F154" s="5"/>
    </row>
    <row r="155" customFormat="false" ht="15" hidden="false" customHeight="true" outlineLevel="0" collapsed="false">
      <c r="A155" s="39"/>
      <c r="B155" s="39"/>
      <c r="C155" s="5" t="s">
        <v>490</v>
      </c>
      <c r="D155" s="5"/>
      <c r="E155" s="5"/>
      <c r="F155" s="5"/>
    </row>
    <row r="156" customFormat="false" ht="42.1" hidden="false" customHeight="true" outlineLevel="0" collapsed="false">
      <c r="A156" s="4" t="s">
        <v>396</v>
      </c>
      <c r="B156" s="4"/>
      <c r="C156" s="35" t="s">
        <v>491</v>
      </c>
      <c r="D156" s="35"/>
      <c r="E156" s="34" t="s">
        <v>398</v>
      </c>
      <c r="F156" s="49" t="s">
        <v>492</v>
      </c>
    </row>
    <row r="157" customFormat="false" ht="15" hidden="false" customHeight="true" outlineLevel="0" collapsed="false">
      <c r="A157" s="4" t="s">
        <v>400</v>
      </c>
      <c r="B157" s="4"/>
      <c r="C157" s="35" t="s">
        <v>493</v>
      </c>
      <c r="D157" s="35"/>
      <c r="E157" s="35"/>
      <c r="F157" s="35"/>
    </row>
    <row r="158" customFormat="false" ht="15" hidden="false" customHeight="true" outlineLevel="0" collapsed="false">
      <c r="A158" s="41" t="s">
        <v>402</v>
      </c>
      <c r="B158" s="41"/>
      <c r="C158" s="50" t="s">
        <v>494</v>
      </c>
      <c r="D158" s="50"/>
      <c r="E158" s="50"/>
      <c r="F158" s="50"/>
    </row>
    <row r="159" customFormat="false" ht="24.05" hidden="false" customHeight="true" outlineLevel="0" collapsed="false">
      <c r="A159" s="4" t="s">
        <v>404</v>
      </c>
      <c r="B159" s="4"/>
      <c r="C159" s="21" t="s">
        <v>405</v>
      </c>
      <c r="D159" s="21"/>
      <c r="E159" s="21"/>
      <c r="F159" s="21"/>
    </row>
    <row r="160" customFormat="false" ht="15" hidden="false" customHeight="true" outlineLevel="0" collapsed="false">
      <c r="A160" s="29" t="s">
        <v>406</v>
      </c>
      <c r="B160" s="29"/>
      <c r="C160" s="43" t="str">
        <f aca="false">HYPERLINK("https://scholar.google.com/scholar?q=ChatGPT+writing+assistant+quality+evaluation+human+rating","[1] ChatGPT as a Writing Assistant: Quality Evaluation Studies")</f>
        <v>[1] ChatGPT as a Writing Assistant: Quality Evaluation Studies</v>
      </c>
      <c r="D160" s="43"/>
      <c r="E160" s="43"/>
      <c r="F160" s="43"/>
    </row>
    <row r="161" customFormat="false" ht="15" hidden="false" customHeight="true" outlineLevel="0" collapsed="false">
      <c r="A161" s="17" t="s">
        <v>407</v>
      </c>
      <c r="B161" s="17"/>
      <c r="C161" s="44" t="str">
        <f aca="false">HYPERLINK("https://scholar.google.com/scholar?q=requirements+quality+characteristics+measurement+clarity+completeness","[2] Requirements Quality: Characteristics and Measurement")</f>
        <v>[2] Requirements Quality: Characteristics and Measurement</v>
      </c>
      <c r="D161" s="44"/>
      <c r="E161" s="44"/>
      <c r="F161" s="44"/>
    </row>
    <row r="162" customFormat="false" ht="15" hidden="false" customHeight="true" outlineLevel="0" collapsed="false">
      <c r="A162" s="29" t="s">
        <v>408</v>
      </c>
      <c r="B162" s="29"/>
      <c r="C162" s="43" t="str">
        <f aca="false">HYPERLINK("https://scholar.google.com/scholar?q=AI+requirements+elicitation+non-technical+users+LLM","[3] AI-Assisted Requirements Elicitation for Non-Technical Users")</f>
        <v>[3] AI-Assisted Requirements Elicitation for Non-Technical Users</v>
      </c>
      <c r="D162" s="43"/>
      <c r="E162" s="43"/>
      <c r="F162" s="43"/>
    </row>
    <row r="163" customFormat="false" ht="15" hidden="false" customHeight="true" outlineLevel="0" collapsed="false">
      <c r="A163" s="17" t="s">
        <v>409</v>
      </c>
      <c r="B163" s="17"/>
      <c r="C163" s="44" t="str">
        <f aca="false">HYPERLINK("https://scholar.google.com/scholar?q=blind+evaluation+methodology+NLP+output+human+rating","[4] Blind Evaluation Methodology in NLP Output Assessment")</f>
        <v>[4] Blind Evaluation Methodology in NLP Output Assessment</v>
      </c>
      <c r="D163" s="44"/>
      <c r="E163" s="44"/>
      <c r="F163" s="44"/>
    </row>
    <row r="164" customFormat="false" ht="15" hidden="false" customHeight="true" outlineLevel="0" collapsed="false">
      <c r="A164" s="29" t="s">
        <v>410</v>
      </c>
      <c r="B164" s="29"/>
      <c r="C164" s="43" t="str">
        <f aca="false">HYPERLINK("https://scholar.google.com/scholar?q=prompt+engineering+GPT+best+practices+output+quality","[5] Prompt Engineering for GPT: Best Practices and Evaluation")</f>
        <v>[5] Prompt Engineering for GPT: Best Practices and Evaluation</v>
      </c>
      <c r="D164" s="43"/>
      <c r="E164" s="43"/>
      <c r="F164" s="43"/>
    </row>
    <row r="166" customFormat="false" ht="15" hidden="false" customHeight="true" outlineLevel="0" collapsed="false">
      <c r="A166" s="9" t="s">
        <v>495</v>
      </c>
      <c r="B166" s="9"/>
      <c r="C166" s="9"/>
      <c r="D166" s="9"/>
      <c r="E166" s="9"/>
      <c r="F166" s="9"/>
    </row>
    <row r="167" customFormat="false" ht="24.05" hidden="false" customHeight="true" outlineLevel="0" collapsed="false">
      <c r="A167" s="51" t="s">
        <v>365</v>
      </c>
      <c r="B167" s="51"/>
      <c r="C167" s="51" t="s">
        <v>379</v>
      </c>
      <c r="D167" s="52" t="s">
        <v>496</v>
      </c>
      <c r="E167" s="52"/>
      <c r="F167" s="52"/>
    </row>
    <row r="168" customFormat="false" ht="15" hidden="false" customHeight="true" outlineLevel="0" collapsed="false">
      <c r="A168" s="4" t="s">
        <v>117</v>
      </c>
      <c r="B168" s="4"/>
      <c r="C168" s="4" t="s">
        <v>381</v>
      </c>
      <c r="D168" s="4"/>
      <c r="E168" s="4"/>
      <c r="F168" s="4"/>
    </row>
    <row r="169" customFormat="false" ht="15" hidden="false" customHeight="true" outlineLevel="0" collapsed="false">
      <c r="A169" s="6" t="s">
        <v>382</v>
      </c>
      <c r="B169" s="6"/>
      <c r="C169" s="5" t="s">
        <v>497</v>
      </c>
      <c r="D169" s="5"/>
      <c r="E169" s="5"/>
      <c r="F169" s="5"/>
    </row>
    <row r="170" customFormat="false" ht="15" hidden="false" customHeight="true" outlineLevel="0" collapsed="false">
      <c r="A170" s="12" t="s">
        <v>384</v>
      </c>
      <c r="B170" s="12"/>
      <c r="C170" s="13" t="s">
        <v>498</v>
      </c>
      <c r="D170" s="13"/>
      <c r="E170" s="13"/>
      <c r="F170" s="13"/>
    </row>
    <row r="171" customFormat="false" ht="15" hidden="false" customHeight="true" outlineLevel="0" collapsed="false">
      <c r="A171" s="34" t="s">
        <v>386</v>
      </c>
      <c r="B171" s="34"/>
      <c r="C171" s="35" t="s">
        <v>499</v>
      </c>
      <c r="D171" s="35"/>
      <c r="E171" s="35"/>
      <c r="F171" s="35"/>
    </row>
    <row r="172" customFormat="false" ht="15" hidden="false" customHeight="true" outlineLevel="0" collapsed="false">
      <c r="A172" s="23" t="s">
        <v>388</v>
      </c>
      <c r="B172" s="23"/>
      <c r="C172" s="36" t="s">
        <v>500</v>
      </c>
      <c r="D172" s="36"/>
      <c r="E172" s="36"/>
      <c r="F172" s="36"/>
    </row>
    <row r="173" customFormat="false" ht="35.3" hidden="false" customHeight="true" outlineLevel="0" collapsed="false">
      <c r="A173" s="37" t="s">
        <v>390</v>
      </c>
      <c r="B173" s="37"/>
      <c r="C173" s="38" t="s">
        <v>501</v>
      </c>
      <c r="D173" s="38"/>
      <c r="E173" s="38"/>
      <c r="F173" s="38"/>
    </row>
    <row r="174" customFormat="false" ht="15" hidden="false" customHeight="true" outlineLevel="0" collapsed="false">
      <c r="A174" s="4" t="s">
        <v>392</v>
      </c>
      <c r="B174" s="4"/>
      <c r="C174" s="5" t="s">
        <v>502</v>
      </c>
      <c r="D174" s="5"/>
      <c r="E174" s="5"/>
      <c r="F174" s="5"/>
    </row>
    <row r="175" customFormat="false" ht="15" hidden="false" customHeight="true" outlineLevel="0" collapsed="false">
      <c r="A175" s="39"/>
      <c r="B175" s="39"/>
      <c r="C175" s="5" t="s">
        <v>503</v>
      </c>
      <c r="D175" s="5"/>
      <c r="E175" s="5"/>
      <c r="F175" s="5"/>
    </row>
    <row r="176" customFormat="false" ht="15" hidden="false" customHeight="true" outlineLevel="0" collapsed="false">
      <c r="A176" s="39"/>
      <c r="B176" s="39"/>
      <c r="C176" s="5" t="s">
        <v>504</v>
      </c>
      <c r="D176" s="5"/>
      <c r="E176" s="5"/>
      <c r="F176" s="5"/>
    </row>
    <row r="177" customFormat="false" ht="52.25" hidden="false" customHeight="true" outlineLevel="0" collapsed="false">
      <c r="A177" s="4" t="s">
        <v>396</v>
      </c>
      <c r="B177" s="4"/>
      <c r="C177" s="53" t="s">
        <v>505</v>
      </c>
      <c r="D177" s="53"/>
      <c r="E177" s="51" t="s">
        <v>398</v>
      </c>
      <c r="F177" s="54" t="s">
        <v>506</v>
      </c>
    </row>
    <row r="178" customFormat="false" ht="15" hidden="false" customHeight="true" outlineLevel="0" collapsed="false">
      <c r="A178" s="4" t="s">
        <v>400</v>
      </c>
      <c r="B178" s="4"/>
      <c r="C178" s="53" t="s">
        <v>507</v>
      </c>
      <c r="D178" s="53"/>
      <c r="E178" s="53"/>
      <c r="F178" s="53"/>
    </row>
    <row r="179" customFormat="false" ht="15" hidden="false" customHeight="true" outlineLevel="0" collapsed="false">
      <c r="A179" s="41" t="s">
        <v>402</v>
      </c>
      <c r="B179" s="41"/>
      <c r="C179" s="55" t="s">
        <v>508</v>
      </c>
      <c r="D179" s="55"/>
      <c r="E179" s="55"/>
      <c r="F179" s="55"/>
    </row>
    <row r="180" customFormat="false" ht="24.05" hidden="false" customHeight="true" outlineLevel="0" collapsed="false">
      <c r="A180" s="4" t="s">
        <v>404</v>
      </c>
      <c r="B180" s="4"/>
      <c r="C180" s="21" t="s">
        <v>405</v>
      </c>
      <c r="D180" s="21"/>
      <c r="E180" s="21"/>
      <c r="F180" s="21"/>
    </row>
    <row r="181" customFormat="false" ht="15" hidden="false" customHeight="true" outlineLevel="0" collapsed="false">
      <c r="A181" s="29" t="s">
        <v>406</v>
      </c>
      <c r="B181" s="29"/>
      <c r="C181" s="43" t="str">
        <f aca="false">HYPERLINK("https://scholar.google.com/scholar?q=smart+parking+system+survey+approaches+technology+review","[1] Smart Parking Systems: A Survey of Approaches and Technologies")</f>
        <v>[1] Smart Parking Systems: A Survey of Approaches and Technologies</v>
      </c>
      <c r="D181" s="43"/>
      <c r="E181" s="43"/>
      <c r="F181" s="43"/>
    </row>
    <row r="182" customFormat="false" ht="15" hidden="false" customHeight="true" outlineLevel="0" collapsed="false">
      <c r="A182" s="17" t="s">
        <v>407</v>
      </c>
      <c r="B182" s="17"/>
      <c r="C182" s="44" t="str">
        <f aca="false">HYPERLINK("https://scholar.google.com/scholar?q=parking+allocation+strategy+simulation+study+efficiency","[2] Parking Allocation Strategies: Simulation Study")</f>
        <v>[2] Parking Allocation Strategies: Simulation Study</v>
      </c>
      <c r="D182" s="44"/>
      <c r="E182" s="44"/>
      <c r="F182" s="44"/>
    </row>
    <row r="183" customFormat="false" ht="15" hidden="false" customHeight="true" outlineLevel="0" collapsed="false">
      <c r="A183" s="29" t="s">
        <v>408</v>
      </c>
      <c r="B183" s="29"/>
      <c r="C183" s="43" t="str">
        <f aca="false">HYPERLINK("https://scholar.google.com/scholar?q=discrete+event+simulation+service+system+evaluation+python","[3] Discrete-Event Simulation for Service System Evaluation")</f>
        <v>[3] Discrete-Event Simulation for Service System Evaluation</v>
      </c>
      <c r="D183" s="43"/>
      <c r="E183" s="43"/>
      <c r="F183" s="43"/>
    </row>
    <row r="184" customFormat="false" ht="15" hidden="false" customHeight="true" outlineLevel="0" collapsed="false">
      <c r="A184" s="17" t="s">
        <v>409</v>
      </c>
      <c r="B184" s="17"/>
      <c r="C184" s="44" t="str">
        <f aca="false">HYPERLINK("https://scholar.google.com/scholar?q=user+satisfaction+parking+management+survey+urban","[4] User Satisfaction in Parking Management: Survey Study")</f>
        <v>[4] User Satisfaction in Parking Management: Survey Study</v>
      </c>
      <c r="D184" s="44"/>
      <c r="E184" s="44"/>
      <c r="F184" s="44"/>
    </row>
    <row r="185" customFormat="false" ht="15" hidden="false" customHeight="true" outlineLevel="0" collapsed="false">
      <c r="A185" s="29" t="s">
        <v>410</v>
      </c>
      <c r="B185" s="29"/>
      <c r="C185" s="43" t="str">
        <f aca="false">HYPERLINK("https://scholar.google.com/scholar?q=space+utilization+optimization+multi+story+parking+facility","[5] Space Utilization Optimization in Multi-Story Parking")</f>
        <v>[5] Space Utilization Optimization in Multi-Story Parking</v>
      </c>
      <c r="D185" s="43"/>
      <c r="E185" s="43"/>
      <c r="F185" s="43"/>
    </row>
    <row r="187" customFormat="false" ht="15" hidden="false" customHeight="true" outlineLevel="0" collapsed="false">
      <c r="A187" s="9" t="s">
        <v>509</v>
      </c>
      <c r="B187" s="9"/>
      <c r="C187" s="9"/>
      <c r="D187" s="9"/>
      <c r="E187" s="9"/>
      <c r="F187" s="9"/>
    </row>
    <row r="188" customFormat="false" ht="35.3" hidden="false" customHeight="true" outlineLevel="0" collapsed="false">
      <c r="A188" s="6" t="s">
        <v>369</v>
      </c>
      <c r="B188" s="6"/>
      <c r="C188" s="6" t="s">
        <v>379</v>
      </c>
      <c r="D188" s="33" t="s">
        <v>510</v>
      </c>
      <c r="E188" s="33"/>
      <c r="F188" s="33"/>
    </row>
    <row r="189" customFormat="false" ht="15" hidden="false" customHeight="true" outlineLevel="0" collapsed="false">
      <c r="A189" s="4" t="s">
        <v>117</v>
      </c>
      <c r="B189" s="4"/>
      <c r="C189" s="4" t="s">
        <v>381</v>
      </c>
      <c r="D189" s="4"/>
      <c r="E189" s="4"/>
      <c r="F189" s="4"/>
    </row>
    <row r="190" customFormat="false" ht="15" hidden="false" customHeight="true" outlineLevel="0" collapsed="false">
      <c r="A190" s="6" t="s">
        <v>382</v>
      </c>
      <c r="B190" s="6"/>
      <c r="C190" s="5" t="s">
        <v>511</v>
      </c>
      <c r="D190" s="5"/>
      <c r="E190" s="5"/>
      <c r="F190" s="5"/>
    </row>
    <row r="191" customFormat="false" ht="15" hidden="false" customHeight="true" outlineLevel="0" collapsed="false">
      <c r="A191" s="12" t="s">
        <v>384</v>
      </c>
      <c r="B191" s="12"/>
      <c r="C191" s="13" t="s">
        <v>512</v>
      </c>
      <c r="D191" s="13"/>
      <c r="E191" s="13"/>
      <c r="F191" s="13"/>
    </row>
    <row r="192" customFormat="false" ht="15" hidden="false" customHeight="true" outlineLevel="0" collapsed="false">
      <c r="A192" s="34" t="s">
        <v>386</v>
      </c>
      <c r="B192" s="34"/>
      <c r="C192" s="35" t="s">
        <v>513</v>
      </c>
      <c r="D192" s="35"/>
      <c r="E192" s="35"/>
      <c r="F192" s="35"/>
    </row>
    <row r="193" customFormat="false" ht="15" hidden="false" customHeight="true" outlineLevel="0" collapsed="false">
      <c r="A193" s="23" t="s">
        <v>388</v>
      </c>
      <c r="B193" s="23"/>
      <c r="C193" s="36" t="s">
        <v>514</v>
      </c>
      <c r="D193" s="36"/>
      <c r="E193" s="36"/>
      <c r="F193" s="36"/>
    </row>
    <row r="194" customFormat="false" ht="35.3" hidden="false" customHeight="true" outlineLevel="0" collapsed="false">
      <c r="A194" s="37" t="s">
        <v>390</v>
      </c>
      <c r="B194" s="37"/>
      <c r="C194" s="38" t="s">
        <v>515</v>
      </c>
      <c r="D194" s="38"/>
      <c r="E194" s="38"/>
      <c r="F194" s="38"/>
    </row>
    <row r="195" customFormat="false" ht="15" hidden="false" customHeight="true" outlineLevel="0" collapsed="false">
      <c r="A195" s="4" t="s">
        <v>392</v>
      </c>
      <c r="B195" s="4"/>
      <c r="C195" s="5" t="s">
        <v>516</v>
      </c>
      <c r="D195" s="5"/>
      <c r="E195" s="5"/>
      <c r="F195" s="5"/>
    </row>
    <row r="196" customFormat="false" ht="15" hidden="false" customHeight="true" outlineLevel="0" collapsed="false">
      <c r="A196" s="39"/>
      <c r="B196" s="39"/>
      <c r="C196" s="5" t="s">
        <v>517</v>
      </c>
      <c r="D196" s="5"/>
      <c r="E196" s="5"/>
      <c r="F196" s="5"/>
    </row>
    <row r="197" customFormat="false" ht="15" hidden="false" customHeight="true" outlineLevel="0" collapsed="false">
      <c r="A197" s="39"/>
      <c r="B197" s="39"/>
      <c r="C197" s="5" t="s">
        <v>518</v>
      </c>
      <c r="D197" s="5"/>
      <c r="E197" s="5"/>
      <c r="F197" s="5"/>
    </row>
    <row r="198" customFormat="false" ht="62.4" hidden="false" customHeight="true" outlineLevel="0" collapsed="false">
      <c r="A198" s="4" t="s">
        <v>396</v>
      </c>
      <c r="B198" s="4"/>
      <c r="C198" s="5" t="s">
        <v>519</v>
      </c>
      <c r="D198" s="5"/>
      <c r="E198" s="6" t="s">
        <v>398</v>
      </c>
      <c r="F198" s="40" t="s">
        <v>520</v>
      </c>
    </row>
    <row r="199" customFormat="false" ht="15" hidden="false" customHeight="true" outlineLevel="0" collapsed="false">
      <c r="A199" s="4" t="s">
        <v>400</v>
      </c>
      <c r="B199" s="4"/>
      <c r="C199" s="5" t="s">
        <v>521</v>
      </c>
      <c r="D199" s="5"/>
      <c r="E199" s="5"/>
      <c r="F199" s="5"/>
    </row>
    <row r="200" customFormat="false" ht="15" hidden="false" customHeight="true" outlineLevel="0" collapsed="false">
      <c r="A200" s="41" t="s">
        <v>402</v>
      </c>
      <c r="B200" s="41"/>
      <c r="C200" s="42" t="s">
        <v>522</v>
      </c>
      <c r="D200" s="42"/>
      <c r="E200" s="42"/>
      <c r="F200" s="42"/>
    </row>
    <row r="201" customFormat="false" ht="24.05" hidden="false" customHeight="true" outlineLevel="0" collapsed="false">
      <c r="A201" s="4" t="s">
        <v>404</v>
      </c>
      <c r="B201" s="4"/>
      <c r="C201" s="21" t="s">
        <v>405</v>
      </c>
      <c r="D201" s="21"/>
      <c r="E201" s="21"/>
      <c r="F201" s="21"/>
    </row>
    <row r="202" customFormat="false" ht="15" hidden="false" customHeight="true" outlineLevel="0" collapsed="false">
      <c r="A202" s="29" t="s">
        <v>406</v>
      </c>
      <c r="B202" s="29"/>
      <c r="C202" s="43" t="str">
        <f aca="false">HYPERLINK("https://scholar.google.com/scholar?q=retrieval+augmented+generation+RAG+survey+evaluation+2024","[1] Retrieval-Augmented Generation (RAG): Survey and Evaluation")</f>
        <v>[1] Retrieval-Augmented Generation (RAG): Survey and Evaluation</v>
      </c>
      <c r="D202" s="43"/>
      <c r="E202" s="43"/>
      <c r="F202" s="43"/>
    </row>
    <row r="203" customFormat="false" ht="15" hidden="false" customHeight="true" outlineLevel="0" collapsed="false">
      <c r="A203" s="17" t="s">
        <v>407</v>
      </c>
      <c r="B203" s="17"/>
      <c r="C203" s="44" t="str">
        <f aca="false">HYPERLINK("https://scholar.google.com/scholar?q=RAGAS+evaluation+RAG+faithfulness+relevancy+framework","[2] RAGAS: Automated Evaluation Framework for RAG Systems")</f>
        <v>[2] RAGAS: Automated Evaluation Framework for RAG Systems</v>
      </c>
      <c r="D203" s="44"/>
      <c r="E203" s="44"/>
      <c r="F203" s="44"/>
    </row>
    <row r="204" customFormat="false" ht="15" hidden="false" customHeight="true" outlineLevel="0" collapsed="false">
      <c r="A204" s="29" t="s">
        <v>408</v>
      </c>
      <c r="B204" s="29"/>
      <c r="C204" s="43" t="str">
        <f aca="false">HYPERLINK("https://scholar.google.com/scholar?q=chunking+strategy+RAG+retrieval+quality+comparison+2024","[3] Chunking Strategies for RAG: Impact on Retrieval Quality")</f>
        <v>[3] Chunking Strategies for RAG: Impact on Retrieval Quality</v>
      </c>
      <c r="D204" s="43"/>
      <c r="E204" s="43"/>
      <c r="F204" s="43"/>
    </row>
    <row r="205" customFormat="false" ht="15" hidden="false" customHeight="true" outlineLevel="0" collapsed="false">
      <c r="A205" s="17" t="s">
        <v>409</v>
      </c>
      <c r="B205" s="17"/>
      <c r="C205" s="44" t="str">
        <f aca="false">HYPERLINK("https://scholar.google.com/scholar?q=LangChain+LLM+application+RAG+practical+guide","[4] LangChain: Building LLM Applications – A Practical Guide")</f>
        <v>[4] LangChain: Building LLM Applications – A Practical Guide</v>
      </c>
      <c r="D205" s="44"/>
      <c r="E205" s="44"/>
      <c r="F205" s="44"/>
    </row>
    <row r="206" customFormat="false" ht="15" hidden="false" customHeight="true" outlineLevel="0" collapsed="false">
      <c r="A206" s="29" t="s">
        <v>410</v>
      </c>
      <c r="B206" s="29"/>
      <c r="C206" s="43" t="str">
        <f aca="false">HYPERLINK("https://scholar.google.com/scholar?q=educational+chatbot+evaluation+accuracy+user+satisfaction+survey","[5] Educational Chatbot Evaluation: Accuracy and User Satisfaction")</f>
        <v>[5] Educational Chatbot Evaluation: Accuracy and User Satisfaction</v>
      </c>
      <c r="D206" s="43"/>
      <c r="E206" s="43"/>
      <c r="F206" s="43"/>
    </row>
    <row r="208" customFormat="false" ht="15" hidden="false" customHeight="true" outlineLevel="0" collapsed="false">
      <c r="A208" s="9" t="s">
        <v>523</v>
      </c>
      <c r="B208" s="9"/>
      <c r="C208" s="9"/>
      <c r="D208" s="9"/>
      <c r="E208" s="9"/>
      <c r="F208" s="9"/>
    </row>
    <row r="209" customFormat="false" ht="24.05" hidden="false" customHeight="true" outlineLevel="0" collapsed="false">
      <c r="A209" s="23" t="s">
        <v>373</v>
      </c>
      <c r="B209" s="23"/>
      <c r="C209" s="23" t="s">
        <v>379</v>
      </c>
      <c r="D209" s="45" t="s">
        <v>524</v>
      </c>
      <c r="E209" s="45"/>
      <c r="F209" s="45"/>
    </row>
    <row r="210" customFormat="false" ht="15" hidden="false" customHeight="true" outlineLevel="0" collapsed="false">
      <c r="A210" s="4" t="s">
        <v>117</v>
      </c>
      <c r="B210" s="4"/>
      <c r="C210" s="4" t="s">
        <v>381</v>
      </c>
      <c r="D210" s="4"/>
      <c r="E210" s="4"/>
      <c r="F210" s="4"/>
    </row>
    <row r="211" customFormat="false" ht="15" hidden="false" customHeight="true" outlineLevel="0" collapsed="false">
      <c r="A211" s="6" t="s">
        <v>382</v>
      </c>
      <c r="B211" s="6"/>
      <c r="C211" s="5" t="s">
        <v>525</v>
      </c>
      <c r="D211" s="5"/>
      <c r="E211" s="5"/>
      <c r="F211" s="5"/>
    </row>
    <row r="212" customFormat="false" ht="15" hidden="false" customHeight="true" outlineLevel="0" collapsed="false">
      <c r="A212" s="12" t="s">
        <v>384</v>
      </c>
      <c r="B212" s="12"/>
      <c r="C212" s="13" t="s">
        <v>526</v>
      </c>
      <c r="D212" s="13"/>
      <c r="E212" s="13"/>
      <c r="F212" s="13"/>
    </row>
    <row r="213" customFormat="false" ht="15" hidden="false" customHeight="true" outlineLevel="0" collapsed="false">
      <c r="A213" s="34" t="s">
        <v>386</v>
      </c>
      <c r="B213" s="34"/>
      <c r="C213" s="35" t="s">
        <v>527</v>
      </c>
      <c r="D213" s="35"/>
      <c r="E213" s="35"/>
      <c r="F213" s="35"/>
    </row>
    <row r="214" customFormat="false" ht="15" hidden="false" customHeight="true" outlineLevel="0" collapsed="false">
      <c r="A214" s="23" t="s">
        <v>388</v>
      </c>
      <c r="B214" s="23"/>
      <c r="C214" s="36" t="s">
        <v>528</v>
      </c>
      <c r="D214" s="36"/>
      <c r="E214" s="36"/>
      <c r="F214" s="36"/>
    </row>
    <row r="215" customFormat="false" ht="35.3" hidden="false" customHeight="true" outlineLevel="0" collapsed="false">
      <c r="A215" s="37" t="s">
        <v>390</v>
      </c>
      <c r="B215" s="37"/>
      <c r="C215" s="38" t="s">
        <v>529</v>
      </c>
      <c r="D215" s="38"/>
      <c r="E215" s="38"/>
      <c r="F215" s="38"/>
    </row>
    <row r="216" customFormat="false" ht="15" hidden="false" customHeight="true" outlineLevel="0" collapsed="false">
      <c r="A216" s="4" t="s">
        <v>392</v>
      </c>
      <c r="B216" s="4"/>
      <c r="C216" s="5" t="s">
        <v>530</v>
      </c>
      <c r="D216" s="5"/>
      <c r="E216" s="5"/>
      <c r="F216" s="5"/>
    </row>
    <row r="217" customFormat="false" ht="15" hidden="false" customHeight="true" outlineLevel="0" collapsed="false">
      <c r="A217" s="39"/>
      <c r="B217" s="39"/>
      <c r="C217" s="5" t="s">
        <v>531</v>
      </c>
      <c r="D217" s="5"/>
      <c r="E217" s="5"/>
      <c r="F217" s="5"/>
    </row>
    <row r="218" customFormat="false" ht="15" hidden="false" customHeight="true" outlineLevel="0" collapsed="false">
      <c r="A218" s="39"/>
      <c r="B218" s="39"/>
      <c r="C218" s="5" t="s">
        <v>532</v>
      </c>
      <c r="D218" s="5"/>
      <c r="E218" s="5"/>
      <c r="F218" s="5"/>
    </row>
    <row r="219" customFormat="false" ht="62.4" hidden="false" customHeight="true" outlineLevel="0" collapsed="false">
      <c r="A219" s="4" t="s">
        <v>396</v>
      </c>
      <c r="B219" s="4"/>
      <c r="C219" s="36" t="s">
        <v>533</v>
      </c>
      <c r="D219" s="36"/>
      <c r="E219" s="23" t="s">
        <v>398</v>
      </c>
      <c r="F219" s="46" t="s">
        <v>534</v>
      </c>
    </row>
    <row r="220" customFormat="false" ht="15" hidden="false" customHeight="true" outlineLevel="0" collapsed="false">
      <c r="A220" s="4" t="s">
        <v>400</v>
      </c>
      <c r="B220" s="4"/>
      <c r="C220" s="36" t="s">
        <v>535</v>
      </c>
      <c r="D220" s="36"/>
      <c r="E220" s="36"/>
      <c r="F220" s="36"/>
    </row>
    <row r="221" customFormat="false" ht="15" hidden="false" customHeight="true" outlineLevel="0" collapsed="false">
      <c r="A221" s="41" t="s">
        <v>402</v>
      </c>
      <c r="B221" s="41"/>
      <c r="C221" s="47" t="s">
        <v>536</v>
      </c>
      <c r="D221" s="47"/>
      <c r="E221" s="47"/>
      <c r="F221" s="47"/>
    </row>
    <row r="222" customFormat="false" ht="24.05" hidden="false" customHeight="true" outlineLevel="0" collapsed="false">
      <c r="A222" s="4" t="s">
        <v>404</v>
      </c>
      <c r="B222" s="4"/>
      <c r="C222" s="21" t="s">
        <v>405</v>
      </c>
      <c r="D222" s="21"/>
      <c r="E222" s="21"/>
      <c r="F222" s="21"/>
    </row>
    <row r="223" customFormat="false" ht="15" hidden="false" customHeight="true" outlineLevel="0" collapsed="false">
      <c r="A223" s="29" t="s">
        <v>406</v>
      </c>
      <c r="B223" s="29"/>
      <c r="C223" s="43" t="str">
        <f aca="false">HYPERLINK("https://scholar.google.com/scholar?q=semantic+search+vs+keyword+search+user+study+comparison","[1] Semantic Search vs Keyword Search: A User Study")</f>
        <v>[1] Semantic Search vs Keyword Search: A User Study</v>
      </c>
      <c r="D223" s="43"/>
      <c r="E223" s="43"/>
      <c r="F223" s="43"/>
    </row>
    <row r="224" customFormat="false" ht="15" hidden="false" customHeight="true" outlineLevel="0" collapsed="false">
      <c r="A224" s="17" t="s">
        <v>407</v>
      </c>
      <c r="B224" s="17"/>
      <c r="C224" s="44" t="str">
        <f aca="false">HYPERLINK("https://scholar.google.com/scholar?q=vector+embeddings+document+retrieval+semantic+search+introduction","[2] Vector Embeddings for Document Retrieval: An Introduction")</f>
        <v>[2] Vector Embeddings for Document Retrieval: An Introduction</v>
      </c>
      <c r="D224" s="44"/>
      <c r="E224" s="44"/>
      <c r="F224" s="44"/>
    </row>
    <row r="225" customFormat="false" ht="15" hidden="false" customHeight="true" outlineLevel="0" collapsed="false">
      <c r="A225" s="29" t="s">
        <v>408</v>
      </c>
      <c r="B225" s="29"/>
      <c r="C225" s="43" t="str">
        <f aca="false">HYPERLINK("https://scholar.google.com/scholar?q=information+retrieval+evaluation+precision+recall+NDCG+metrics","[3] Information Retrieval Evaluation: Precision, Recall, NDCG")</f>
        <v>[3] Information Retrieval Evaluation: Precision, Recall, NDCG</v>
      </c>
      <c r="D225" s="43"/>
      <c r="E225" s="43"/>
      <c r="F225" s="43"/>
    </row>
    <row r="226" customFormat="false" ht="15" hidden="false" customHeight="true" outlineLevel="0" collapsed="false">
      <c r="A226" s="17" t="s">
        <v>409</v>
      </c>
      <c r="B226" s="17"/>
      <c r="C226" s="44" t="str">
        <f aca="false">HYPERLINK("https://scholar.google.com/scholar?q=document+management+system+educational+context+evaluation","[4] Document Management Systems in Educational Contexts")</f>
        <v>[4] Document Management Systems in Educational Contexts</v>
      </c>
      <c r="D226" s="44"/>
      <c r="E226" s="44"/>
      <c r="F226" s="44"/>
    </row>
    <row r="227" customFormat="false" ht="15" hidden="false" customHeight="true" outlineLevel="0" collapsed="false">
      <c r="A227" s="29" t="s">
        <v>410</v>
      </c>
      <c r="B227" s="29"/>
      <c r="C227" s="43" t="str">
        <f aca="false">HYPERLINK("https://scholar.google.com/scholar?q=within+subjects+experimental+design+HCI+user+study","[5] Within-Subjects Experimental Design in HCI Research")</f>
        <v>[5] Within-Subjects Experimental Design in HCI Research</v>
      </c>
      <c r="D227" s="43"/>
      <c r="E227" s="43"/>
      <c r="F227" s="43"/>
    </row>
    <row r="229" customFormat="false" ht="15" hidden="false" customHeight="true" outlineLevel="0" collapsed="false">
      <c r="A229" s="9" t="s">
        <v>537</v>
      </c>
      <c r="B229" s="9"/>
      <c r="C229" s="9"/>
      <c r="D229" s="9"/>
      <c r="E229" s="9"/>
      <c r="F229" s="9"/>
    </row>
    <row r="230" customFormat="false" ht="35.3" hidden="false" customHeight="true" outlineLevel="0" collapsed="false">
      <c r="A230" s="34" t="s">
        <v>377</v>
      </c>
      <c r="B230" s="34"/>
      <c r="C230" s="34" t="s">
        <v>379</v>
      </c>
      <c r="D230" s="48" t="s">
        <v>538</v>
      </c>
      <c r="E230" s="48"/>
      <c r="F230" s="48"/>
    </row>
    <row r="231" customFormat="false" ht="15" hidden="false" customHeight="true" outlineLevel="0" collapsed="false">
      <c r="A231" s="4" t="s">
        <v>117</v>
      </c>
      <c r="B231" s="4"/>
      <c r="C231" s="4" t="s">
        <v>381</v>
      </c>
      <c r="D231" s="4"/>
      <c r="E231" s="4"/>
      <c r="F231" s="4"/>
    </row>
    <row r="232" customFormat="false" ht="15" hidden="false" customHeight="true" outlineLevel="0" collapsed="false">
      <c r="A232" s="6" t="s">
        <v>382</v>
      </c>
      <c r="B232" s="6"/>
      <c r="C232" s="5" t="s">
        <v>539</v>
      </c>
      <c r="D232" s="5"/>
      <c r="E232" s="5"/>
      <c r="F232" s="5"/>
    </row>
    <row r="233" customFormat="false" ht="15" hidden="false" customHeight="true" outlineLevel="0" collapsed="false">
      <c r="A233" s="12" t="s">
        <v>384</v>
      </c>
      <c r="B233" s="12"/>
      <c r="C233" s="13" t="s">
        <v>540</v>
      </c>
      <c r="D233" s="13"/>
      <c r="E233" s="13"/>
      <c r="F233" s="13"/>
    </row>
    <row r="234" customFormat="false" ht="15" hidden="false" customHeight="true" outlineLevel="0" collapsed="false">
      <c r="A234" s="34" t="s">
        <v>386</v>
      </c>
      <c r="B234" s="34"/>
      <c r="C234" s="35" t="s">
        <v>541</v>
      </c>
      <c r="D234" s="35"/>
      <c r="E234" s="35"/>
      <c r="F234" s="35"/>
    </row>
    <row r="235" customFormat="false" ht="15" hidden="false" customHeight="true" outlineLevel="0" collapsed="false">
      <c r="A235" s="23" t="s">
        <v>388</v>
      </c>
      <c r="B235" s="23"/>
      <c r="C235" s="36" t="s">
        <v>542</v>
      </c>
      <c r="D235" s="36"/>
      <c r="E235" s="36"/>
      <c r="F235" s="36"/>
    </row>
    <row r="236" customFormat="false" ht="35.3" hidden="false" customHeight="true" outlineLevel="0" collapsed="false">
      <c r="A236" s="37" t="s">
        <v>390</v>
      </c>
      <c r="B236" s="37"/>
      <c r="C236" s="38" t="s">
        <v>543</v>
      </c>
      <c r="D236" s="38"/>
      <c r="E236" s="38"/>
      <c r="F236" s="38"/>
    </row>
    <row r="237" customFormat="false" ht="15" hidden="false" customHeight="true" outlineLevel="0" collapsed="false">
      <c r="A237" s="4" t="s">
        <v>392</v>
      </c>
      <c r="B237" s="4"/>
      <c r="C237" s="5" t="s">
        <v>544</v>
      </c>
      <c r="D237" s="5"/>
      <c r="E237" s="5"/>
      <c r="F237" s="5"/>
    </row>
    <row r="238" customFormat="false" ht="15" hidden="false" customHeight="true" outlineLevel="0" collapsed="false">
      <c r="A238" s="39"/>
      <c r="B238" s="39"/>
      <c r="C238" s="5" t="s">
        <v>545</v>
      </c>
      <c r="D238" s="5"/>
      <c r="E238" s="5"/>
      <c r="F238" s="5"/>
    </row>
    <row r="239" customFormat="false" ht="15" hidden="false" customHeight="true" outlineLevel="0" collapsed="false">
      <c r="A239" s="39"/>
      <c r="B239" s="39"/>
      <c r="C239" s="5" t="s">
        <v>546</v>
      </c>
      <c r="D239" s="5"/>
      <c r="E239" s="5"/>
      <c r="F239" s="5"/>
    </row>
    <row r="240" customFormat="false" ht="42.1" hidden="false" customHeight="true" outlineLevel="0" collapsed="false">
      <c r="A240" s="4" t="s">
        <v>396</v>
      </c>
      <c r="B240" s="4"/>
      <c r="C240" s="35" t="s">
        <v>547</v>
      </c>
      <c r="D240" s="35"/>
      <c r="E240" s="34" t="s">
        <v>398</v>
      </c>
      <c r="F240" s="49" t="s">
        <v>548</v>
      </c>
    </row>
    <row r="241" customFormat="false" ht="15" hidden="false" customHeight="true" outlineLevel="0" collapsed="false">
      <c r="A241" s="4" t="s">
        <v>400</v>
      </c>
      <c r="B241" s="4"/>
      <c r="C241" s="35" t="s">
        <v>549</v>
      </c>
      <c r="D241" s="35"/>
      <c r="E241" s="35"/>
      <c r="F241" s="35"/>
    </row>
    <row r="242" customFormat="false" ht="15" hidden="false" customHeight="true" outlineLevel="0" collapsed="false">
      <c r="A242" s="41" t="s">
        <v>402</v>
      </c>
      <c r="B242" s="41"/>
      <c r="C242" s="50" t="s">
        <v>550</v>
      </c>
      <c r="D242" s="50"/>
      <c r="E242" s="50"/>
      <c r="F242" s="50"/>
    </row>
    <row r="243" customFormat="false" ht="24.05" hidden="false" customHeight="true" outlineLevel="0" collapsed="false">
      <c r="A243" s="4" t="s">
        <v>404</v>
      </c>
      <c r="B243" s="4"/>
      <c r="C243" s="21" t="s">
        <v>405</v>
      </c>
      <c r="D243" s="21"/>
      <c r="E243" s="21"/>
      <c r="F243" s="21"/>
    </row>
    <row r="244" customFormat="false" ht="15" hidden="false" customHeight="true" outlineLevel="0" collapsed="false">
      <c r="A244" s="29" t="s">
        <v>406</v>
      </c>
      <c r="B244" s="29"/>
      <c r="C244" s="43" t="str">
        <f aca="false">HYPERLINK("https://scholar.google.com/scholar?q=knowledge+transfer+student+organization+barriers+enablers","[1] Knowledge Transfer in Student Organizations: Barriers and Enablers")</f>
        <v>[1] Knowledge Transfer in Student Organizations: Barriers and Enablers</v>
      </c>
      <c r="D244" s="43"/>
      <c r="E244" s="43"/>
      <c r="F244" s="43"/>
    </row>
    <row r="245" customFormat="false" ht="15" hidden="false" customHeight="true" outlineLevel="0" collapsed="false">
      <c r="A245" s="17" t="s">
        <v>407</v>
      </c>
      <c r="B245" s="17"/>
      <c r="C245" s="44" t="str">
        <f aca="false">HYPERLINK("https://scholar.google.com/scholar?q=digital+transformation+university+student+club+management","[2] Digital Transformation in University Student Clubs")</f>
        <v>[2] Digital Transformation in University Student Clubs</v>
      </c>
      <c r="D245" s="44"/>
      <c r="E245" s="44"/>
      <c r="F245" s="44"/>
    </row>
    <row r="246" customFormat="false" ht="15" hidden="false" customHeight="true" outlineLevel="0" collapsed="false">
      <c r="A246" s="29" t="s">
        <v>408</v>
      </c>
      <c r="B246" s="29"/>
      <c r="C246" s="43" t="str">
        <f aca="false">HYPERLINK("https://scholar.google.com/scholar?q=centralized+knowledge+base+vs+distributed+information+organization","[3] Centralized Knowledge Base vs Distributed Information: Comparison")</f>
        <v>[3] Centralized Knowledge Base vs Distributed Information: Comparison</v>
      </c>
      <c r="D246" s="43"/>
      <c r="E246" s="43"/>
      <c r="F246" s="43"/>
    </row>
    <row r="247" customFormat="false" ht="15" hidden="false" customHeight="true" outlineLevel="0" collapsed="false">
      <c r="A247" s="17" t="s">
        <v>409</v>
      </c>
      <c r="B247" s="17"/>
      <c r="C247" s="44" t="str">
        <f aca="false">HYPERLINK("https://scholar.google.com/scholar?q=chatbot+organizational+knowledge+management+case+study","[4] Chatbot for Organizational Knowledge Management: A Case Study")</f>
        <v>[4] Chatbot for Organizational Knowledge Management: A Case Study</v>
      </c>
      <c r="D247" s="44"/>
      <c r="E247" s="44"/>
      <c r="F247" s="44"/>
    </row>
    <row r="248" customFormat="false" ht="15" hidden="false" customHeight="true" outlineLevel="0" collapsed="false">
      <c r="A248" s="29" t="s">
        <v>410</v>
      </c>
      <c r="B248" s="29"/>
      <c r="C248" s="43" t="str">
        <f aca="false">HYPERLINK("https://scholar.google.com/scholar?q=qualitative+research+methods+interview+thematic+analysis+guide","[5] Qualitative Research Methods: Interviews and Thematic Analysis")</f>
        <v>[5] Qualitative Research Methods: Interviews and Thematic Analysis</v>
      </c>
      <c r="D248" s="43"/>
      <c r="E248" s="43"/>
      <c r="F248" s="43"/>
    </row>
  </sheetData>
  <mergeCells count="444">
    <mergeCell ref="A1:F1"/>
    <mergeCell ref="A2:F2"/>
    <mergeCell ref="A3:F3"/>
    <mergeCell ref="E5:F5"/>
    <mergeCell ref="E6:F6"/>
    <mergeCell ref="E7:F7"/>
    <mergeCell ref="E8:F8"/>
    <mergeCell ref="E9:F9"/>
    <mergeCell ref="E10:F10"/>
    <mergeCell ref="E11:F11"/>
    <mergeCell ref="E12:F12"/>
    <mergeCell ref="E13:F13"/>
    <mergeCell ref="E14:F14"/>
    <mergeCell ref="E15:F15"/>
    <mergeCell ref="E16:F16"/>
    <mergeCell ref="A19:F19"/>
    <mergeCell ref="A20:B20"/>
    <mergeCell ref="D20:F20"/>
    <mergeCell ref="A21:B21"/>
    <mergeCell ref="C21:F21"/>
    <mergeCell ref="A22:B22"/>
    <mergeCell ref="C22:F22"/>
    <mergeCell ref="A23:B23"/>
    <mergeCell ref="C23:F23"/>
    <mergeCell ref="A24:B24"/>
    <mergeCell ref="C24:F24"/>
    <mergeCell ref="A25:B25"/>
    <mergeCell ref="C25:F25"/>
    <mergeCell ref="A26:B26"/>
    <mergeCell ref="C26:F26"/>
    <mergeCell ref="A27:B27"/>
    <mergeCell ref="C27:F27"/>
    <mergeCell ref="A28:B28"/>
    <mergeCell ref="C28:F28"/>
    <mergeCell ref="A29:B29"/>
    <mergeCell ref="C29:F29"/>
    <mergeCell ref="A30:B30"/>
    <mergeCell ref="C30:D30"/>
    <mergeCell ref="A31:B31"/>
    <mergeCell ref="C31:F31"/>
    <mergeCell ref="A32:B32"/>
    <mergeCell ref="C32:F32"/>
    <mergeCell ref="A33:B33"/>
    <mergeCell ref="C33:F33"/>
    <mergeCell ref="A34:B34"/>
    <mergeCell ref="C34:F34"/>
    <mergeCell ref="A35:B35"/>
    <mergeCell ref="C35:F35"/>
    <mergeCell ref="A36:B36"/>
    <mergeCell ref="C36:F36"/>
    <mergeCell ref="A37:B37"/>
    <mergeCell ref="C37:F37"/>
    <mergeCell ref="A38:B38"/>
    <mergeCell ref="C38:F38"/>
    <mergeCell ref="A40:F40"/>
    <mergeCell ref="A41:B41"/>
    <mergeCell ref="D41:F41"/>
    <mergeCell ref="A42:B42"/>
    <mergeCell ref="C42:F42"/>
    <mergeCell ref="A43:B43"/>
    <mergeCell ref="C43:F43"/>
    <mergeCell ref="A44:B44"/>
    <mergeCell ref="C44:F44"/>
    <mergeCell ref="A45:B45"/>
    <mergeCell ref="C45:F45"/>
    <mergeCell ref="A46:B46"/>
    <mergeCell ref="C46:F46"/>
    <mergeCell ref="A47:B47"/>
    <mergeCell ref="C47:F47"/>
    <mergeCell ref="A48:B48"/>
    <mergeCell ref="C48:F48"/>
    <mergeCell ref="A49:B49"/>
    <mergeCell ref="C49:F49"/>
    <mergeCell ref="A50:B50"/>
    <mergeCell ref="C50:F50"/>
    <mergeCell ref="A51:B51"/>
    <mergeCell ref="C51:D51"/>
    <mergeCell ref="A52:B52"/>
    <mergeCell ref="C52:F52"/>
    <mergeCell ref="A53:B53"/>
    <mergeCell ref="C53:F53"/>
    <mergeCell ref="A54:B54"/>
    <mergeCell ref="C54:F54"/>
    <mergeCell ref="A55:B55"/>
    <mergeCell ref="C55:F55"/>
    <mergeCell ref="A56:B56"/>
    <mergeCell ref="C56:F56"/>
    <mergeCell ref="A57:B57"/>
    <mergeCell ref="C57:F57"/>
    <mergeCell ref="A58:B58"/>
    <mergeCell ref="C58:F58"/>
    <mergeCell ref="A59:B59"/>
    <mergeCell ref="C59:F59"/>
    <mergeCell ref="A61:F61"/>
    <mergeCell ref="A62:B62"/>
    <mergeCell ref="D62:F62"/>
    <mergeCell ref="A63:B63"/>
    <mergeCell ref="C63:F63"/>
    <mergeCell ref="A64:B64"/>
    <mergeCell ref="C64:F64"/>
    <mergeCell ref="A65:B65"/>
    <mergeCell ref="C65:F65"/>
    <mergeCell ref="A66:B66"/>
    <mergeCell ref="C66:F66"/>
    <mergeCell ref="A67:B67"/>
    <mergeCell ref="C67:F67"/>
    <mergeCell ref="A68:B68"/>
    <mergeCell ref="C68:F68"/>
    <mergeCell ref="A69:B69"/>
    <mergeCell ref="C69:F69"/>
    <mergeCell ref="A70:B70"/>
    <mergeCell ref="C70:F70"/>
    <mergeCell ref="A71:B71"/>
    <mergeCell ref="C71:F71"/>
    <mergeCell ref="A72:B72"/>
    <mergeCell ref="C72:D72"/>
    <mergeCell ref="A73:B73"/>
    <mergeCell ref="C73:F73"/>
    <mergeCell ref="A74:B74"/>
    <mergeCell ref="C74:F74"/>
    <mergeCell ref="A75:B75"/>
    <mergeCell ref="C75:F75"/>
    <mergeCell ref="A76:B76"/>
    <mergeCell ref="C76:F76"/>
    <mergeCell ref="A77:B77"/>
    <mergeCell ref="C77:F77"/>
    <mergeCell ref="A78:B78"/>
    <mergeCell ref="C78:F78"/>
    <mergeCell ref="A79:B79"/>
    <mergeCell ref="C79:F79"/>
    <mergeCell ref="A80:B80"/>
    <mergeCell ref="C80:F80"/>
    <mergeCell ref="A82:F82"/>
    <mergeCell ref="A83:B83"/>
    <mergeCell ref="D83:F83"/>
    <mergeCell ref="A84:B84"/>
    <mergeCell ref="C84:F84"/>
    <mergeCell ref="A85:B85"/>
    <mergeCell ref="C85:F85"/>
    <mergeCell ref="A86:B86"/>
    <mergeCell ref="C86:F86"/>
    <mergeCell ref="A87:B87"/>
    <mergeCell ref="C87:F87"/>
    <mergeCell ref="A88:B88"/>
    <mergeCell ref="C88:F88"/>
    <mergeCell ref="A89:B89"/>
    <mergeCell ref="C89:F89"/>
    <mergeCell ref="A90:B90"/>
    <mergeCell ref="C90:F90"/>
    <mergeCell ref="A91:B91"/>
    <mergeCell ref="C91:F91"/>
    <mergeCell ref="A92:B92"/>
    <mergeCell ref="C92:F92"/>
    <mergeCell ref="A93:B93"/>
    <mergeCell ref="C93:D93"/>
    <mergeCell ref="A94:B94"/>
    <mergeCell ref="C94:F94"/>
    <mergeCell ref="A95:B95"/>
    <mergeCell ref="C95:F95"/>
    <mergeCell ref="A96:B96"/>
    <mergeCell ref="C96:F96"/>
    <mergeCell ref="A97:B97"/>
    <mergeCell ref="C97:F97"/>
    <mergeCell ref="A98:B98"/>
    <mergeCell ref="C98:F98"/>
    <mergeCell ref="A99:B99"/>
    <mergeCell ref="C99:F99"/>
    <mergeCell ref="A100:B100"/>
    <mergeCell ref="C100:F100"/>
    <mergeCell ref="A101:B101"/>
    <mergeCell ref="C101:F101"/>
    <mergeCell ref="A103:F103"/>
    <mergeCell ref="A104:B104"/>
    <mergeCell ref="D104:F104"/>
    <mergeCell ref="A105:B105"/>
    <mergeCell ref="C105:F105"/>
    <mergeCell ref="A106:B106"/>
    <mergeCell ref="C106:F106"/>
    <mergeCell ref="A107:B107"/>
    <mergeCell ref="C107:F107"/>
    <mergeCell ref="A108:B108"/>
    <mergeCell ref="C108:F108"/>
    <mergeCell ref="A109:B109"/>
    <mergeCell ref="C109:F109"/>
    <mergeCell ref="A110:B110"/>
    <mergeCell ref="C110:F110"/>
    <mergeCell ref="A111:B111"/>
    <mergeCell ref="C111:F111"/>
    <mergeCell ref="A112:B112"/>
    <mergeCell ref="C112:F112"/>
    <mergeCell ref="A113:B113"/>
    <mergeCell ref="C113:F113"/>
    <mergeCell ref="A114:B114"/>
    <mergeCell ref="C114:D114"/>
    <mergeCell ref="A115:B115"/>
    <mergeCell ref="C115:F115"/>
    <mergeCell ref="A116:B116"/>
    <mergeCell ref="C116:F116"/>
    <mergeCell ref="A117:B117"/>
    <mergeCell ref="C117:F117"/>
    <mergeCell ref="A118:B118"/>
    <mergeCell ref="C118:F118"/>
    <mergeCell ref="A119:B119"/>
    <mergeCell ref="C119:F119"/>
    <mergeCell ref="A120:B120"/>
    <mergeCell ref="C120:F120"/>
    <mergeCell ref="A121:B121"/>
    <mergeCell ref="C121:F121"/>
    <mergeCell ref="A122:B122"/>
    <mergeCell ref="C122:F122"/>
    <mergeCell ref="A124:F124"/>
    <mergeCell ref="A125:B125"/>
    <mergeCell ref="D125:F125"/>
    <mergeCell ref="A126:B126"/>
    <mergeCell ref="C126:F126"/>
    <mergeCell ref="A127:B127"/>
    <mergeCell ref="C127:F127"/>
    <mergeCell ref="A128:B128"/>
    <mergeCell ref="C128:F128"/>
    <mergeCell ref="A129:B129"/>
    <mergeCell ref="C129:F129"/>
    <mergeCell ref="A130:B130"/>
    <mergeCell ref="C130:F130"/>
    <mergeCell ref="A131:B131"/>
    <mergeCell ref="C131:F131"/>
    <mergeCell ref="A132:B132"/>
    <mergeCell ref="C132:F132"/>
    <mergeCell ref="A133:B133"/>
    <mergeCell ref="C133:F133"/>
    <mergeCell ref="A134:B134"/>
    <mergeCell ref="C134:F134"/>
    <mergeCell ref="A135:B135"/>
    <mergeCell ref="C135:D135"/>
    <mergeCell ref="A136:B136"/>
    <mergeCell ref="C136:F136"/>
    <mergeCell ref="A137:B137"/>
    <mergeCell ref="C137:F137"/>
    <mergeCell ref="A138:B138"/>
    <mergeCell ref="C138:F138"/>
    <mergeCell ref="A139:B139"/>
    <mergeCell ref="C139:F139"/>
    <mergeCell ref="A140:B140"/>
    <mergeCell ref="C140:F140"/>
    <mergeCell ref="A141:B141"/>
    <mergeCell ref="C141:F141"/>
    <mergeCell ref="A142:B142"/>
    <mergeCell ref="C142:F142"/>
    <mergeCell ref="A143:B143"/>
    <mergeCell ref="C143:F143"/>
    <mergeCell ref="A145:F145"/>
    <mergeCell ref="A146:B146"/>
    <mergeCell ref="D146:F146"/>
    <mergeCell ref="A147:B147"/>
    <mergeCell ref="C147:F147"/>
    <mergeCell ref="A148:B148"/>
    <mergeCell ref="C148:F148"/>
    <mergeCell ref="A149:B149"/>
    <mergeCell ref="C149:F149"/>
    <mergeCell ref="A150:B150"/>
    <mergeCell ref="C150:F150"/>
    <mergeCell ref="A151:B151"/>
    <mergeCell ref="C151:F151"/>
    <mergeCell ref="A152:B152"/>
    <mergeCell ref="C152:F152"/>
    <mergeCell ref="A153:B153"/>
    <mergeCell ref="C153:F153"/>
    <mergeCell ref="A154:B154"/>
    <mergeCell ref="C154:F154"/>
    <mergeCell ref="A155:B155"/>
    <mergeCell ref="C155:F155"/>
    <mergeCell ref="A156:B156"/>
    <mergeCell ref="C156:D156"/>
    <mergeCell ref="A157:B157"/>
    <mergeCell ref="C157:F157"/>
    <mergeCell ref="A158:B158"/>
    <mergeCell ref="C158:F158"/>
    <mergeCell ref="A159:B159"/>
    <mergeCell ref="C159:F159"/>
    <mergeCell ref="A160:B160"/>
    <mergeCell ref="C160:F160"/>
    <mergeCell ref="A161:B161"/>
    <mergeCell ref="C161:F161"/>
    <mergeCell ref="A162:B162"/>
    <mergeCell ref="C162:F162"/>
    <mergeCell ref="A163:B163"/>
    <mergeCell ref="C163:F163"/>
    <mergeCell ref="A164:B164"/>
    <mergeCell ref="C164:F164"/>
    <mergeCell ref="A166:F166"/>
    <mergeCell ref="A167:B167"/>
    <mergeCell ref="D167:F167"/>
    <mergeCell ref="A168:B168"/>
    <mergeCell ref="C168:F168"/>
    <mergeCell ref="A169:B169"/>
    <mergeCell ref="C169:F169"/>
    <mergeCell ref="A170:B170"/>
    <mergeCell ref="C170:F170"/>
    <mergeCell ref="A171:B171"/>
    <mergeCell ref="C171:F171"/>
    <mergeCell ref="A172:B172"/>
    <mergeCell ref="C172:F172"/>
    <mergeCell ref="A173:B173"/>
    <mergeCell ref="C173:F173"/>
    <mergeCell ref="A174:B174"/>
    <mergeCell ref="C174:F174"/>
    <mergeCell ref="A175:B175"/>
    <mergeCell ref="C175:F175"/>
    <mergeCell ref="A176:B176"/>
    <mergeCell ref="C176:F176"/>
    <mergeCell ref="A177:B177"/>
    <mergeCell ref="C177:D177"/>
    <mergeCell ref="A178:B178"/>
    <mergeCell ref="C178:F178"/>
    <mergeCell ref="A179:B179"/>
    <mergeCell ref="C179:F179"/>
    <mergeCell ref="A180:B180"/>
    <mergeCell ref="C180:F180"/>
    <mergeCell ref="A181:B181"/>
    <mergeCell ref="C181:F181"/>
    <mergeCell ref="A182:B182"/>
    <mergeCell ref="C182:F182"/>
    <mergeCell ref="A183:B183"/>
    <mergeCell ref="C183:F183"/>
    <mergeCell ref="A184:B184"/>
    <mergeCell ref="C184:F184"/>
    <mergeCell ref="A185:B185"/>
    <mergeCell ref="C185:F185"/>
    <mergeCell ref="A187:F187"/>
    <mergeCell ref="A188:B188"/>
    <mergeCell ref="D188:F188"/>
    <mergeCell ref="A189:B189"/>
    <mergeCell ref="C189:F189"/>
    <mergeCell ref="A190:B190"/>
    <mergeCell ref="C190:F190"/>
    <mergeCell ref="A191:B191"/>
    <mergeCell ref="C191:F191"/>
    <mergeCell ref="A192:B192"/>
    <mergeCell ref="C192:F192"/>
    <mergeCell ref="A193:B193"/>
    <mergeCell ref="C193:F193"/>
    <mergeCell ref="A194:B194"/>
    <mergeCell ref="C194:F194"/>
    <mergeCell ref="A195:B195"/>
    <mergeCell ref="C195:F195"/>
    <mergeCell ref="A196:B196"/>
    <mergeCell ref="C196:F196"/>
    <mergeCell ref="A197:B197"/>
    <mergeCell ref="C197:F197"/>
    <mergeCell ref="A198:B198"/>
    <mergeCell ref="C198:D198"/>
    <mergeCell ref="A199:B199"/>
    <mergeCell ref="C199:F199"/>
    <mergeCell ref="A200:B200"/>
    <mergeCell ref="C200:F200"/>
    <mergeCell ref="A201:B201"/>
    <mergeCell ref="C201:F201"/>
    <mergeCell ref="A202:B202"/>
    <mergeCell ref="C202:F202"/>
    <mergeCell ref="A203:B203"/>
    <mergeCell ref="C203:F203"/>
    <mergeCell ref="A204:B204"/>
    <mergeCell ref="C204:F204"/>
    <mergeCell ref="A205:B205"/>
    <mergeCell ref="C205:F205"/>
    <mergeCell ref="A206:B206"/>
    <mergeCell ref="C206:F206"/>
    <mergeCell ref="A208:F208"/>
    <mergeCell ref="A209:B209"/>
    <mergeCell ref="D209:F209"/>
    <mergeCell ref="A210:B210"/>
    <mergeCell ref="C210:F210"/>
    <mergeCell ref="A211:B211"/>
    <mergeCell ref="C211:F211"/>
    <mergeCell ref="A212:B212"/>
    <mergeCell ref="C212:F212"/>
    <mergeCell ref="A213:B213"/>
    <mergeCell ref="C213:F213"/>
    <mergeCell ref="A214:B214"/>
    <mergeCell ref="C214:F214"/>
    <mergeCell ref="A215:B215"/>
    <mergeCell ref="C215:F215"/>
    <mergeCell ref="A216:B216"/>
    <mergeCell ref="C216:F216"/>
    <mergeCell ref="A217:B217"/>
    <mergeCell ref="C217:F217"/>
    <mergeCell ref="A218:B218"/>
    <mergeCell ref="C218:F218"/>
    <mergeCell ref="A219:B219"/>
    <mergeCell ref="C219:D219"/>
    <mergeCell ref="A220:B220"/>
    <mergeCell ref="C220:F220"/>
    <mergeCell ref="A221:B221"/>
    <mergeCell ref="C221:F221"/>
    <mergeCell ref="A222:B222"/>
    <mergeCell ref="C222:F222"/>
    <mergeCell ref="A223:B223"/>
    <mergeCell ref="C223:F223"/>
    <mergeCell ref="A224:B224"/>
    <mergeCell ref="C224:F224"/>
    <mergeCell ref="A225:B225"/>
    <mergeCell ref="C225:F225"/>
    <mergeCell ref="A226:B226"/>
    <mergeCell ref="C226:F226"/>
    <mergeCell ref="A227:B227"/>
    <mergeCell ref="C227:F227"/>
    <mergeCell ref="A229:F229"/>
    <mergeCell ref="A230:B230"/>
    <mergeCell ref="D230:F230"/>
    <mergeCell ref="A231:B231"/>
    <mergeCell ref="C231:F231"/>
    <mergeCell ref="A232:B232"/>
    <mergeCell ref="C232:F232"/>
    <mergeCell ref="A233:B233"/>
    <mergeCell ref="C233:F233"/>
    <mergeCell ref="A234:B234"/>
    <mergeCell ref="C234:F234"/>
    <mergeCell ref="A235:B235"/>
    <mergeCell ref="C235:F235"/>
    <mergeCell ref="A236:B236"/>
    <mergeCell ref="C236:F236"/>
    <mergeCell ref="A237:B237"/>
    <mergeCell ref="C237:F237"/>
    <mergeCell ref="A238:B238"/>
    <mergeCell ref="C238:F238"/>
    <mergeCell ref="A239:B239"/>
    <mergeCell ref="C239:F239"/>
    <mergeCell ref="A240:B240"/>
    <mergeCell ref="C240:D240"/>
    <mergeCell ref="A241:B241"/>
    <mergeCell ref="C241:F241"/>
    <mergeCell ref="A242:B242"/>
    <mergeCell ref="C242:F242"/>
    <mergeCell ref="A243:B243"/>
    <mergeCell ref="C243:F243"/>
    <mergeCell ref="A244:B244"/>
    <mergeCell ref="C244:F244"/>
    <mergeCell ref="A245:B245"/>
    <mergeCell ref="C245:F245"/>
    <mergeCell ref="A246:B246"/>
    <mergeCell ref="C246:F246"/>
    <mergeCell ref="A247:B247"/>
    <mergeCell ref="C247:F247"/>
    <mergeCell ref="A248:B248"/>
    <mergeCell ref="C248:F2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LibreOffice/26.2.3.2$Linux_X86_64 LibreOffice_project/7d74455cffae7a589951233f185ae0303c082020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2026-05-22T02:17:52Z</dcterms:created>
  <dc:creator>openpyxl</dc:creator>
  <dc:description/>
  <dc:language>en-US</dc:language>
  <cp:lastModifiedBy/>
  <dcterms:modified xsi:type="dcterms:W3CDTF">2026-05-22T09:43:38Z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